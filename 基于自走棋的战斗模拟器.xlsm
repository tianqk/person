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20" windowWidth="16155" windowHeight="8505" activeTab="4"/>
  </bookViews>
  <sheets>
    <sheet name="属性表" sheetId="1" r:id="rId1"/>
    <sheet name="战斗公式" sheetId="2" r:id="rId2"/>
    <sheet name="英雄" sheetId="5" r:id="rId3"/>
    <sheet name="装备" sheetId="3" r:id="rId4"/>
    <sheet name="战斗模拟" sheetId="4" r:id="rId5"/>
  </sheets>
  <functionGroups builtInGroupCount="18"/>
  <calcPr calcId="152511"/>
</workbook>
</file>

<file path=xl/calcChain.xml><?xml version="1.0" encoding="utf-8"?>
<calcChain xmlns="http://schemas.openxmlformats.org/spreadsheetml/2006/main">
  <c r="E28" i="4" l="1"/>
  <c r="P17" i="4"/>
  <c r="Q17" i="4"/>
  <c r="R17" i="4"/>
  <c r="S17" i="4"/>
  <c r="O17" i="4"/>
  <c r="C17" i="4"/>
  <c r="D17" i="4"/>
  <c r="E17" i="4"/>
  <c r="F17" i="4"/>
  <c r="B17" i="4"/>
  <c r="H39" i="5"/>
  <c r="I16" i="3" l="1"/>
  <c r="H16" i="3"/>
  <c r="L53" i="5"/>
  <c r="L23" i="5"/>
  <c r="L22" i="5"/>
  <c r="H36" i="5"/>
  <c r="H34" i="5"/>
  <c r="H25" i="5"/>
  <c r="H22" i="5"/>
  <c r="F22" i="5"/>
  <c r="F48" i="5"/>
  <c r="F44" i="5"/>
  <c r="E49" i="5"/>
  <c r="H28" i="4"/>
  <c r="H27" i="4"/>
  <c r="F29" i="4" l="1"/>
  <c r="E29" i="4"/>
  <c r="B31" i="4"/>
  <c r="C31" i="4" s="1"/>
  <c r="B30" i="4"/>
  <c r="C30" i="4" s="1"/>
  <c r="B29" i="4"/>
  <c r="C29" i="4" l="1"/>
  <c r="D29" i="4" s="1"/>
  <c r="O2" i="4"/>
  <c r="B2" i="4"/>
  <c r="F28" i="4" l="1"/>
  <c r="G28" i="4"/>
  <c r="G29" i="4"/>
  <c r="H29" i="4"/>
  <c r="F30" i="4"/>
  <c r="G30" i="4"/>
  <c r="H30" i="4"/>
  <c r="F31" i="4"/>
  <c r="G31" i="4"/>
  <c r="H31" i="4"/>
  <c r="G27" i="4"/>
  <c r="F27" i="4"/>
  <c r="E30" i="4"/>
  <c r="E31" i="4"/>
  <c r="E27" i="4"/>
  <c r="B28" i="4"/>
  <c r="D30" i="4"/>
  <c r="D31" i="4"/>
  <c r="B27" i="4"/>
  <c r="C27" i="4" s="1"/>
  <c r="F21" i="4"/>
  <c r="G21" i="4"/>
  <c r="H21" i="4"/>
  <c r="F22" i="4"/>
  <c r="G22" i="4"/>
  <c r="H22" i="4"/>
  <c r="F23" i="4"/>
  <c r="G23" i="4"/>
  <c r="H23" i="4"/>
  <c r="F24" i="4"/>
  <c r="G24" i="4"/>
  <c r="H24" i="4"/>
  <c r="G20" i="4"/>
  <c r="H20" i="4"/>
  <c r="F20" i="4"/>
  <c r="C28" i="4" l="1"/>
  <c r="D28" i="4" s="1"/>
  <c r="D27" i="4"/>
  <c r="E21" i="4"/>
  <c r="E22" i="4"/>
  <c r="E23" i="4"/>
  <c r="E24" i="4"/>
  <c r="E20" i="4"/>
  <c r="B21" i="4"/>
  <c r="C21" i="4" s="1"/>
  <c r="B22" i="4"/>
  <c r="C22" i="4" s="1"/>
  <c r="B23" i="4"/>
  <c r="C23" i="4" s="1"/>
  <c r="B24" i="4"/>
  <c r="C24" i="4" s="1"/>
  <c r="B20" i="4"/>
  <c r="C20" i="4" s="1"/>
  <c r="N12" i="4"/>
  <c r="N16" i="4"/>
  <c r="N15" i="4"/>
  <c r="N14" i="4"/>
  <c r="N13" i="4"/>
  <c r="A13" i="4"/>
  <c r="A14" i="4"/>
  <c r="A15" i="4"/>
  <c r="A16" i="4"/>
  <c r="A12" i="4"/>
  <c r="O4" i="3"/>
  <c r="O5" i="3"/>
  <c r="O6" i="3"/>
  <c r="O7" i="3"/>
  <c r="O8" i="3"/>
  <c r="O9" i="3"/>
  <c r="O10" i="3"/>
  <c r="O11" i="3"/>
  <c r="O12" i="3"/>
  <c r="O13" i="3"/>
  <c r="O14" i="3"/>
  <c r="O15" i="3"/>
  <c r="O3" i="3"/>
  <c r="C16" i="3"/>
  <c r="D16" i="3"/>
  <c r="E16" i="3"/>
  <c r="F16" i="3"/>
  <c r="G16" i="3"/>
  <c r="J16" i="3"/>
  <c r="K16" i="3"/>
  <c r="L16" i="3"/>
  <c r="M16" i="3"/>
  <c r="N16" i="3"/>
  <c r="B16" i="3"/>
  <c r="P12" i="5"/>
  <c r="P13" i="5"/>
  <c r="P14" i="5"/>
  <c r="P15" i="5"/>
  <c r="P16" i="5"/>
  <c r="P17" i="5"/>
  <c r="P18" i="5"/>
  <c r="P11" i="5"/>
  <c r="E39" i="5"/>
  <c r="F39" i="5"/>
  <c r="G39" i="5"/>
  <c r="I39" i="5"/>
  <c r="J39" i="5"/>
  <c r="K39" i="5"/>
  <c r="L39" i="5"/>
  <c r="M39" i="5"/>
  <c r="N39" i="5"/>
  <c r="O39" i="5"/>
  <c r="P39" i="5"/>
  <c r="Q39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E44" i="5"/>
  <c r="G44" i="5"/>
  <c r="H44" i="5"/>
  <c r="I44" i="5"/>
  <c r="J44" i="5"/>
  <c r="K44" i="5"/>
  <c r="L44" i="5"/>
  <c r="M44" i="5"/>
  <c r="N44" i="5"/>
  <c r="O44" i="5"/>
  <c r="P44" i="5"/>
  <c r="Q44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E48" i="5"/>
  <c r="G48" i="5"/>
  <c r="H48" i="5"/>
  <c r="I48" i="5"/>
  <c r="J48" i="5"/>
  <c r="K48" i="5"/>
  <c r="L48" i="5"/>
  <c r="M48" i="5"/>
  <c r="N48" i="5"/>
  <c r="O48" i="5"/>
  <c r="P48" i="5"/>
  <c r="Q48" i="5"/>
  <c r="F49" i="5"/>
  <c r="G49" i="5"/>
  <c r="H49" i="5"/>
  <c r="I49" i="5"/>
  <c r="J49" i="5"/>
  <c r="K49" i="5"/>
  <c r="L49" i="5"/>
  <c r="M49" i="5"/>
  <c r="N49" i="5"/>
  <c r="O49" i="5"/>
  <c r="P49" i="5"/>
  <c r="Q49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E53" i="5"/>
  <c r="F53" i="5"/>
  <c r="G53" i="5"/>
  <c r="H53" i="5"/>
  <c r="I53" i="5"/>
  <c r="J53" i="5"/>
  <c r="K53" i="5"/>
  <c r="M53" i="5"/>
  <c r="N53" i="5"/>
  <c r="O53" i="5"/>
  <c r="P53" i="5"/>
  <c r="Q53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I30" i="5"/>
  <c r="E25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F25" i="5"/>
  <c r="G25" i="5"/>
  <c r="I25" i="5"/>
  <c r="J25" i="5"/>
  <c r="K25" i="5"/>
  <c r="L25" i="5"/>
  <c r="M25" i="5"/>
  <c r="N25" i="5"/>
  <c r="O25" i="5"/>
  <c r="P25" i="5"/>
  <c r="Q25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E30" i="5"/>
  <c r="F30" i="5"/>
  <c r="G30" i="5"/>
  <c r="H30" i="5"/>
  <c r="J30" i="5"/>
  <c r="K30" i="5"/>
  <c r="L30" i="5"/>
  <c r="M30" i="5"/>
  <c r="N30" i="5"/>
  <c r="O30" i="5"/>
  <c r="P30" i="5"/>
  <c r="Q30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E34" i="5"/>
  <c r="F34" i="5"/>
  <c r="G34" i="5"/>
  <c r="I34" i="5"/>
  <c r="J34" i="5"/>
  <c r="K34" i="5"/>
  <c r="L34" i="5"/>
  <c r="M34" i="5"/>
  <c r="N34" i="5"/>
  <c r="O34" i="5"/>
  <c r="P34" i="5"/>
  <c r="Q34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E36" i="5"/>
  <c r="F36" i="5"/>
  <c r="G36" i="5"/>
  <c r="I36" i="5"/>
  <c r="J36" i="5"/>
  <c r="K36" i="5"/>
  <c r="L36" i="5"/>
  <c r="M36" i="5"/>
  <c r="N36" i="5"/>
  <c r="O36" i="5"/>
  <c r="P36" i="5"/>
  <c r="Q36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E23" i="5"/>
  <c r="F23" i="5"/>
  <c r="G23" i="5"/>
  <c r="H23" i="5"/>
  <c r="I23" i="5"/>
  <c r="J23" i="5"/>
  <c r="K23" i="5"/>
  <c r="M23" i="5"/>
  <c r="N23" i="5"/>
  <c r="O23" i="5"/>
  <c r="P23" i="5"/>
  <c r="Q23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G22" i="5"/>
  <c r="I22" i="5"/>
  <c r="J22" i="5"/>
  <c r="K22" i="5"/>
  <c r="M22" i="5"/>
  <c r="N22" i="5"/>
  <c r="O22" i="5"/>
  <c r="P22" i="5"/>
  <c r="Q22" i="5"/>
  <c r="E22" i="5"/>
  <c r="C23" i="5"/>
  <c r="C24" i="5"/>
  <c r="C22" i="5"/>
  <c r="T28" i="4"/>
  <c r="N31" i="4"/>
  <c r="L30" i="4"/>
  <c r="N28" i="4"/>
  <c r="T22" i="4"/>
  <c r="J20" i="4"/>
  <c r="R22" i="4"/>
  <c r="M22" i="4"/>
  <c r="J22" i="4"/>
  <c r="R24" i="4"/>
  <c r="I21" i="4"/>
  <c r="O24" i="4"/>
  <c r="J29" i="4"/>
  <c r="S27" i="4"/>
  <c r="M20" i="4"/>
  <c r="O21" i="4"/>
  <c r="I20" i="4"/>
  <c r="R20" i="4"/>
  <c r="U24" i="4"/>
  <c r="L22" i="4"/>
  <c r="M23" i="4"/>
  <c r="O20" i="4"/>
  <c r="S21" i="4"/>
  <c r="N21" i="4"/>
  <c r="K21" i="4"/>
  <c r="O31" i="4"/>
  <c r="Q23" i="4"/>
  <c r="N23" i="4"/>
  <c r="S28" i="4"/>
  <c r="P22" i="4"/>
  <c r="Q24" i="4"/>
  <c r="S30" i="4"/>
  <c r="I27" i="4"/>
  <c r="U29" i="4"/>
  <c r="J30" i="4"/>
  <c r="N29" i="4"/>
  <c r="S23" i="4"/>
  <c r="N20" i="4"/>
  <c r="S22" i="4"/>
  <c r="Q20" i="4"/>
  <c r="I24" i="4"/>
  <c r="N22" i="4"/>
  <c r="K22" i="4"/>
  <c r="J23" i="4"/>
  <c r="R30" i="4"/>
  <c r="J28" i="4"/>
  <c r="L28" i="4"/>
  <c r="P24" i="4"/>
  <c r="L23" i="4"/>
  <c r="M24" i="4"/>
  <c r="O23" i="4"/>
  <c r="K24" i="4"/>
  <c r="T24" i="4"/>
  <c r="L21" i="4"/>
  <c r="U20" i="4"/>
  <c r="P29" i="4"/>
  <c r="L27" i="4"/>
  <c r="Q30" i="4"/>
  <c r="K20" i="4"/>
  <c r="M21" i="4"/>
  <c r="T21" i="4"/>
  <c r="U22" i="4"/>
  <c r="R23" i="4"/>
  <c r="Q22" i="4"/>
  <c r="L24" i="4"/>
  <c r="P23" i="4"/>
  <c r="U28" i="4"/>
  <c r="U27" i="4"/>
  <c r="K29" i="4"/>
  <c r="R21" i="4"/>
  <c r="U21" i="4"/>
  <c r="T20" i="4"/>
  <c r="K23" i="4"/>
  <c r="S20" i="4"/>
  <c r="O22" i="4"/>
  <c r="I29" i="4"/>
  <c r="N27" i="4"/>
  <c r="P20" i="4"/>
  <c r="J24" i="4"/>
  <c r="P21" i="4"/>
  <c r="T23" i="4"/>
  <c r="N24" i="4"/>
  <c r="J21" i="4"/>
  <c r="O27" i="4"/>
  <c r="Q28" i="4"/>
  <c r="U23" i="4"/>
  <c r="I23" i="4"/>
  <c r="I22" i="4"/>
  <c r="S24" i="4"/>
  <c r="L20" i="4"/>
  <c r="Q21" i="4"/>
  <c r="K30" i="4"/>
  <c r="U31" i="4"/>
  <c r="R28" i="4"/>
  <c r="K28" i="4"/>
  <c r="L29" i="4"/>
  <c r="D24" i="4" l="1"/>
  <c r="D20" i="4"/>
  <c r="D22" i="4"/>
  <c r="D21" i="4"/>
  <c r="D23" i="4"/>
  <c r="J31" i="4"/>
  <c r="K27" i="4"/>
  <c r="P31" i="4"/>
  <c r="P30" i="4"/>
  <c r="M29" i="4"/>
  <c r="O28" i="4"/>
  <c r="I31" i="4"/>
  <c r="J27" i="4"/>
  <c r="T29" i="4"/>
  <c r="T30" i="4"/>
  <c r="M30" i="4"/>
  <c r="I30" i="4"/>
  <c r="R29" i="4"/>
  <c r="Q31" i="4"/>
  <c r="P28" i="4"/>
  <c r="U30" i="4"/>
  <c r="M27" i="4"/>
  <c r="T31" i="4"/>
  <c r="I28" i="4"/>
  <c r="S31" i="4"/>
  <c r="Q29" i="4"/>
  <c r="L31" i="4"/>
  <c r="S29" i="4"/>
  <c r="T27" i="4"/>
  <c r="Q27" i="4"/>
  <c r="O30" i="4"/>
  <c r="K31" i="4"/>
  <c r="M31" i="4"/>
  <c r="R27" i="4"/>
  <c r="R31" i="4"/>
  <c r="M28" i="4"/>
  <c r="O29" i="4"/>
  <c r="P27" i="4"/>
  <c r="N30" i="4"/>
</calcChain>
</file>

<file path=xl/sharedStrings.xml><?xml version="1.0" encoding="utf-8"?>
<sst xmlns="http://schemas.openxmlformats.org/spreadsheetml/2006/main" count="440" uniqueCount="248">
  <si>
    <t>生命</t>
    <phoneticPr fontId="1" type="noConversion"/>
  </si>
  <si>
    <t>护甲穿透</t>
    <phoneticPr fontId="1" type="noConversion"/>
  </si>
  <si>
    <t>攻击速度</t>
    <phoneticPr fontId="1" type="noConversion"/>
  </si>
  <si>
    <t>暴击率</t>
    <phoneticPr fontId="1" type="noConversion"/>
  </si>
  <si>
    <t>暴击伤害</t>
    <phoneticPr fontId="1" type="noConversion"/>
  </si>
  <si>
    <t>属性名</t>
    <phoneticPr fontId="1" type="noConversion"/>
  </si>
  <si>
    <t>取值上限</t>
    <phoneticPr fontId="1" type="noConversion"/>
  </si>
  <si>
    <t>描述</t>
    <phoneticPr fontId="1" type="noConversion"/>
  </si>
  <si>
    <t>类型</t>
    <phoneticPr fontId="1" type="noConversion"/>
  </si>
  <si>
    <t>int</t>
    <phoneticPr fontId="1" type="noConversion"/>
  </si>
  <si>
    <t>double</t>
    <phoneticPr fontId="1" type="noConversion"/>
  </si>
  <si>
    <t>double</t>
    <phoneticPr fontId="1" type="noConversion"/>
  </si>
  <si>
    <t>double</t>
    <phoneticPr fontId="1" type="noConversion"/>
  </si>
  <si>
    <t>物理攻击力</t>
    <phoneticPr fontId="1" type="noConversion"/>
  </si>
  <si>
    <t>魔抗</t>
    <phoneticPr fontId="1" type="noConversion"/>
  </si>
  <si>
    <t>护甲</t>
    <phoneticPr fontId="1" type="noConversion"/>
  </si>
  <si>
    <t>生命值减少到0时死亡</t>
    <phoneticPr fontId="1" type="noConversion"/>
  </si>
  <si>
    <t>护甲值影响到物理伤害减免</t>
    <phoneticPr fontId="1" type="noConversion"/>
  </si>
  <si>
    <t>闪避率</t>
    <phoneticPr fontId="1" type="noConversion"/>
  </si>
  <si>
    <t>按比例无视一定的护甲值</t>
    <phoneticPr fontId="1" type="noConversion"/>
  </si>
  <si>
    <t>普通攻击每秒攻击次数</t>
    <phoneticPr fontId="1" type="noConversion"/>
  </si>
  <si>
    <t>影响到攻击是否为暴击</t>
    <phoneticPr fontId="1" type="noConversion"/>
  </si>
  <si>
    <t>影响到暴击后的伤害值</t>
    <phoneticPr fontId="1" type="noConversion"/>
  </si>
  <si>
    <t>影响到防御者是否需要承受一次伤害</t>
    <phoneticPr fontId="1" type="noConversion"/>
  </si>
  <si>
    <t>物理减伤比=</t>
    <phoneticPr fontId="1" type="noConversion"/>
  </si>
  <si>
    <t>1/(1+物理减伤比系数/(防御方护甲*（1-攻击方护甲穿透）))</t>
    <phoneticPr fontId="1" type="noConversion"/>
  </si>
  <si>
    <t>圆桌规则</t>
    <phoneticPr fontId="1" type="noConversion"/>
  </si>
  <si>
    <t>优先级</t>
    <phoneticPr fontId="1" type="noConversion"/>
  </si>
  <si>
    <t>判定内容</t>
    <phoneticPr fontId="1" type="noConversion"/>
  </si>
  <si>
    <t>说明</t>
    <phoneticPr fontId="1" type="noConversion"/>
  </si>
  <si>
    <t>判定终止文字</t>
    <phoneticPr fontId="1" type="noConversion"/>
  </si>
  <si>
    <t>判定是否闪避</t>
    <phoneticPr fontId="1" type="noConversion"/>
  </si>
  <si>
    <t>"闪避"</t>
  </si>
  <si>
    <t>无</t>
    <phoneticPr fontId="1" type="noConversion"/>
  </si>
  <si>
    <t>判定是否暴击</t>
    <phoneticPr fontId="1" type="noConversion"/>
  </si>
  <si>
    <t>"暴击"</t>
    <phoneticPr fontId="1" type="noConversion"/>
  </si>
  <si>
    <t>影响到物理攻击的强度</t>
    <phoneticPr fontId="1" type="noConversion"/>
  </si>
  <si>
    <t>魔法攻击力</t>
    <phoneticPr fontId="1" type="noConversion"/>
  </si>
  <si>
    <t>魔抗</t>
    <phoneticPr fontId="1" type="noConversion"/>
  </si>
  <si>
    <t>影响到魔法攻击的强度</t>
    <phoneticPr fontId="1" type="noConversion"/>
  </si>
  <si>
    <t>魔抗值影响到魔法伤害减免</t>
    <phoneticPr fontId="1" type="noConversion"/>
  </si>
  <si>
    <t>法术穿透</t>
    <phoneticPr fontId="1" type="noConversion"/>
  </si>
  <si>
    <t>按比例无视一定的魔抗值</t>
    <phoneticPr fontId="1" type="noConversion"/>
  </si>
  <si>
    <t>法术吸血</t>
    <phoneticPr fontId="1" type="noConversion"/>
  </si>
  <si>
    <t>物理吸血</t>
    <phoneticPr fontId="1" type="noConversion"/>
  </si>
  <si>
    <t>造成物理伤害时按比例回复自身生命值</t>
    <phoneticPr fontId="1" type="noConversion"/>
  </si>
  <si>
    <t>造成魔法伤害时按比例回复自身生命值</t>
    <phoneticPr fontId="1" type="noConversion"/>
  </si>
  <si>
    <t>魔法减伤比=</t>
    <phoneticPr fontId="1" type="noConversion"/>
  </si>
  <si>
    <t>1/(1+魔法减伤比系数/(防御方魔抗*（1-攻击方法术穿透）))</t>
    <phoneticPr fontId="1" type="noConversion"/>
  </si>
  <si>
    <t>如果闪避，则守方将闪避攻方此次攻击的伤害</t>
    <phoneticPr fontId="1" type="noConversion"/>
  </si>
  <si>
    <t>如果暴击，则攻方的此次攻击，将对守方造成至少200%的伤害</t>
    <phoneticPr fontId="1" type="noConversion"/>
  </si>
  <si>
    <t>自动判定攻方的此次攻击为普通攻击</t>
    <phoneticPr fontId="1" type="noConversion"/>
  </si>
  <si>
    <t>判定是否普通攻击</t>
    <phoneticPr fontId="1" type="noConversion"/>
  </si>
  <si>
    <t>战斗公式整合</t>
    <phoneticPr fontId="1" type="noConversion"/>
  </si>
  <si>
    <t>项目</t>
    <phoneticPr fontId="1" type="noConversion"/>
  </si>
  <si>
    <t>程序上限值</t>
    <phoneticPr fontId="1" type="noConversion"/>
  </si>
  <si>
    <t>圆桌修正</t>
    <phoneticPr fontId="1" type="noConversion"/>
  </si>
  <si>
    <t>最终伤害</t>
    <phoneticPr fontId="1" type="noConversion"/>
  </si>
  <si>
    <t>最终总计伤害=</t>
    <phoneticPr fontId="1" type="noConversion"/>
  </si>
  <si>
    <t>类型</t>
    <phoneticPr fontId="1" type="noConversion"/>
  </si>
  <si>
    <t>类别</t>
    <phoneticPr fontId="1" type="noConversion"/>
  </si>
  <si>
    <t>公式结构（绿色文字，代表需要添加在配置文件中“圆桌修正参数”）</t>
    <phoneticPr fontId="1" type="noConversion"/>
  </si>
  <si>
    <t>普通攻击</t>
    <phoneticPr fontId="1" type="noConversion"/>
  </si>
  <si>
    <t>闪避</t>
    <phoneticPr fontId="1" type="noConversion"/>
  </si>
  <si>
    <t>暴击</t>
    <phoneticPr fontId="1" type="noConversion"/>
  </si>
  <si>
    <t>面板物理攻击力</t>
    <phoneticPr fontId="1" type="noConversion"/>
  </si>
  <si>
    <t>面板魔法攻击力</t>
    <phoneticPr fontId="1" type="noConversion"/>
  </si>
  <si>
    <t>预计物理输出(闪避)=</t>
    <phoneticPr fontId="1" type="noConversion"/>
  </si>
  <si>
    <t>预计魔法输出(闪避)=</t>
    <phoneticPr fontId="1" type="noConversion"/>
  </si>
  <si>
    <t>预计物理输出(普攻)=</t>
    <phoneticPr fontId="1" type="noConversion"/>
  </si>
  <si>
    <t>预计魔法输出(普攻)=</t>
    <phoneticPr fontId="1" type="noConversion"/>
  </si>
  <si>
    <t>预计物理输出(暴击)=</t>
    <phoneticPr fontId="1" type="noConversion"/>
  </si>
  <si>
    <t>预计魔法输出(暴击)=</t>
    <phoneticPr fontId="1" type="noConversion"/>
  </si>
  <si>
    <t>修正魔法伤害=</t>
    <phoneticPr fontId="1" type="noConversion"/>
  </si>
  <si>
    <t>(经过圆桌修正后的)预计物理输出</t>
    <phoneticPr fontId="1" type="noConversion"/>
  </si>
  <si>
    <t>(经过圆桌修正后的)预计魔法输出</t>
    <phoneticPr fontId="1" type="noConversion"/>
  </si>
  <si>
    <t>修正物理伤害=</t>
    <phoneticPr fontId="1" type="noConversion"/>
  </si>
  <si>
    <t>修正物理伤害*（1-物理减伤比）</t>
    <phoneticPr fontId="1" type="noConversion"/>
  </si>
  <si>
    <t>修正物理伤害*（1-魔法减伤比）</t>
    <phoneticPr fontId="1" type="noConversion"/>
  </si>
  <si>
    <t>最终物理伤害=</t>
    <phoneticPr fontId="1" type="noConversion"/>
  </si>
  <si>
    <t>最终魔法伤害=</t>
    <phoneticPr fontId="1" type="noConversion"/>
  </si>
  <si>
    <t>最终物理伤害*物攻判定系数+最终魔法伤害*魔攻判定系数</t>
    <phoneticPr fontId="1" type="noConversion"/>
  </si>
  <si>
    <t>吸血回复量</t>
    <phoneticPr fontId="1" type="noConversion"/>
  </si>
  <si>
    <t>物理吸血回复量=</t>
    <phoneticPr fontId="1" type="noConversion"/>
  </si>
  <si>
    <t>最终物理伤害*物理吸血系数</t>
    <phoneticPr fontId="1" type="noConversion"/>
  </si>
  <si>
    <t>法术吸血回复量=</t>
    <phoneticPr fontId="1" type="noConversion"/>
  </si>
  <si>
    <t>最终魔法伤害*法术吸血系数</t>
    <phoneticPr fontId="1" type="noConversion"/>
  </si>
  <si>
    <t>上限</t>
    <phoneticPr fontId="1" type="noConversion"/>
  </si>
  <si>
    <t>减伤比公式</t>
    <phoneticPr fontId="1" type="noConversion"/>
  </si>
  <si>
    <t>类别</t>
    <phoneticPr fontId="1" type="noConversion"/>
  </si>
  <si>
    <t>物理</t>
    <phoneticPr fontId="1" type="noConversion"/>
  </si>
  <si>
    <t>魔法</t>
    <phoneticPr fontId="1" type="noConversion"/>
  </si>
  <si>
    <t>公式结构</t>
    <phoneticPr fontId="1" type="noConversion"/>
  </si>
  <si>
    <r>
      <t>预计魔法输出(普攻)×</t>
    </r>
    <r>
      <rPr>
        <sz val="10"/>
        <color rgb="FF00B050"/>
        <rFont val="等线"/>
        <family val="3"/>
        <charset val="134"/>
      </rPr>
      <t>闪避减伤系数(0%)</t>
    </r>
    <phoneticPr fontId="1" type="noConversion"/>
  </si>
  <si>
    <r>
      <t>预计物理输出(普攻)×</t>
    </r>
    <r>
      <rPr>
        <sz val="10"/>
        <color rgb="FF00B050"/>
        <rFont val="等线"/>
        <family val="3"/>
        <charset val="134"/>
      </rPr>
      <t>闪避减伤系数(0%)</t>
    </r>
    <phoneticPr fontId="1" type="noConversion"/>
  </si>
  <si>
    <r>
      <t>预计物理输出(普攻)×</t>
    </r>
    <r>
      <rPr>
        <sz val="10"/>
        <color rgb="FF00B050"/>
        <rFont val="等线"/>
        <family val="3"/>
        <charset val="134"/>
      </rPr>
      <t>暴击伤害系数</t>
    </r>
    <phoneticPr fontId="1" type="noConversion"/>
  </si>
  <si>
    <r>
      <t>预计魔法输出(普攻)×</t>
    </r>
    <r>
      <rPr>
        <sz val="10"/>
        <color rgb="FF00B050"/>
        <rFont val="等线"/>
        <family val="3"/>
        <charset val="134"/>
      </rPr>
      <t>暴击伤害系数</t>
    </r>
    <phoneticPr fontId="1" type="noConversion"/>
  </si>
  <si>
    <t>圆桌伤害修正</t>
    <phoneticPr fontId="1" type="noConversion"/>
  </si>
  <si>
    <t>项目</t>
    <phoneticPr fontId="1" type="noConversion"/>
  </si>
  <si>
    <t>生命值</t>
    <phoneticPr fontId="1" type="noConversion"/>
  </si>
  <si>
    <t>护甲</t>
    <phoneticPr fontId="1" type="noConversion"/>
  </si>
  <si>
    <t>物理攻击力</t>
    <phoneticPr fontId="1" type="noConversion"/>
  </si>
  <si>
    <t>魔法攻击力</t>
    <phoneticPr fontId="1" type="noConversion"/>
  </si>
  <si>
    <t>护甲穿透</t>
    <phoneticPr fontId="1" type="noConversion"/>
  </si>
  <si>
    <t>法术穿透</t>
    <phoneticPr fontId="1" type="noConversion"/>
  </si>
  <si>
    <t>暴击率</t>
    <phoneticPr fontId="1" type="noConversion"/>
  </si>
  <si>
    <t>暴击伤害</t>
    <phoneticPr fontId="1" type="noConversion"/>
  </si>
  <si>
    <t>闪避率</t>
    <phoneticPr fontId="1" type="noConversion"/>
  </si>
  <si>
    <t>法术吸血</t>
    <phoneticPr fontId="1" type="noConversion"/>
  </si>
  <si>
    <t>角色</t>
    <phoneticPr fontId="1" type="noConversion"/>
  </si>
  <si>
    <t>等级</t>
    <phoneticPr fontId="1" type="noConversion"/>
  </si>
  <si>
    <t>标准模型</t>
    <phoneticPr fontId="1" type="noConversion"/>
  </si>
  <si>
    <t>盖伦</t>
    <phoneticPr fontId="1" type="noConversion"/>
  </si>
  <si>
    <t>拉克丝</t>
    <phoneticPr fontId="1" type="noConversion"/>
  </si>
  <si>
    <t>易大师</t>
    <phoneticPr fontId="1" type="noConversion"/>
  </si>
  <si>
    <t>贾克斯</t>
    <phoneticPr fontId="1" type="noConversion"/>
  </si>
  <si>
    <t>凯特琳</t>
    <phoneticPr fontId="1" type="noConversion"/>
  </si>
  <si>
    <t>辛德拉</t>
    <phoneticPr fontId="1" type="noConversion"/>
  </si>
  <si>
    <t>墨菲特</t>
    <phoneticPr fontId="1" type="noConversion"/>
  </si>
  <si>
    <t>战士</t>
    <phoneticPr fontId="1" type="noConversion"/>
  </si>
  <si>
    <t>射手</t>
    <phoneticPr fontId="1" type="noConversion"/>
  </si>
  <si>
    <t>法师</t>
    <phoneticPr fontId="1" type="noConversion"/>
  </si>
  <si>
    <t>物理坦克</t>
    <phoneticPr fontId="1" type="noConversion"/>
  </si>
  <si>
    <t>魔法坦克</t>
    <phoneticPr fontId="1" type="noConversion"/>
  </si>
  <si>
    <t>混合坦克</t>
    <phoneticPr fontId="1" type="noConversion"/>
  </si>
  <si>
    <t>狂战士</t>
    <phoneticPr fontId="1" type="noConversion"/>
  </si>
  <si>
    <t>科加斯</t>
    <phoneticPr fontId="1" type="noConversion"/>
  </si>
  <si>
    <t>刺客</t>
    <phoneticPr fontId="1" type="noConversion"/>
  </si>
  <si>
    <t>劫</t>
    <phoneticPr fontId="1" type="noConversion"/>
  </si>
  <si>
    <t>奥拉夫</t>
    <phoneticPr fontId="1" type="noConversion"/>
  </si>
  <si>
    <t>标准模板</t>
    <phoneticPr fontId="1" type="noConversion"/>
  </si>
  <si>
    <t>职业模板</t>
    <phoneticPr fontId="1" type="noConversion"/>
  </si>
  <si>
    <t>标准单位值</t>
    <phoneticPr fontId="1" type="noConversion"/>
  </si>
  <si>
    <t>职业定位</t>
    <phoneticPr fontId="1" type="noConversion"/>
  </si>
  <si>
    <t>攻击类型</t>
    <phoneticPr fontId="1" type="noConversion"/>
  </si>
  <si>
    <t>攻击类型</t>
    <phoneticPr fontId="1" type="noConversion"/>
  </si>
  <si>
    <t>标准等级提升</t>
    <phoneticPr fontId="1" type="noConversion"/>
  </si>
  <si>
    <t>盖伦</t>
    <phoneticPr fontId="1" type="noConversion"/>
  </si>
  <si>
    <t>盖伦</t>
    <phoneticPr fontId="1" type="noConversion"/>
  </si>
  <si>
    <t>拉克丝</t>
    <phoneticPr fontId="1" type="noConversion"/>
  </si>
  <si>
    <t>战士</t>
    <phoneticPr fontId="1" type="noConversion"/>
  </si>
  <si>
    <t>战士</t>
    <phoneticPr fontId="1" type="noConversion"/>
  </si>
  <si>
    <t>法师</t>
    <phoneticPr fontId="1" type="noConversion"/>
  </si>
  <si>
    <t>易大师</t>
    <phoneticPr fontId="1" type="noConversion"/>
  </si>
  <si>
    <t>贾克斯</t>
    <phoneticPr fontId="1" type="noConversion"/>
  </si>
  <si>
    <t>墨菲特</t>
    <phoneticPr fontId="1" type="noConversion"/>
  </si>
  <si>
    <t>科加斯</t>
    <phoneticPr fontId="1" type="noConversion"/>
  </si>
  <si>
    <t>劫</t>
    <phoneticPr fontId="1" type="noConversion"/>
  </si>
  <si>
    <t>奥拉夫</t>
    <phoneticPr fontId="1" type="noConversion"/>
  </si>
  <si>
    <t>狂战士</t>
    <phoneticPr fontId="1" type="noConversion"/>
  </si>
  <si>
    <t>射手</t>
    <phoneticPr fontId="1" type="noConversion"/>
  </si>
  <si>
    <t>法师</t>
    <phoneticPr fontId="1" type="noConversion"/>
  </si>
  <si>
    <t>魔法坦克</t>
    <phoneticPr fontId="1" type="noConversion"/>
  </si>
  <si>
    <t>刺客</t>
    <phoneticPr fontId="1" type="noConversion"/>
  </si>
  <si>
    <t>辛吉德</t>
    <phoneticPr fontId="1" type="noConversion"/>
  </si>
  <si>
    <t>混合坦克</t>
    <phoneticPr fontId="1" type="noConversion"/>
  </si>
  <si>
    <t>加点总计</t>
    <phoneticPr fontId="1" type="noConversion"/>
  </si>
  <si>
    <t>装备名</t>
    <phoneticPr fontId="1" type="noConversion"/>
  </si>
  <si>
    <t>暴风大剑</t>
    <phoneticPr fontId="1" type="noConversion"/>
  </si>
  <si>
    <t>反曲之弓</t>
    <phoneticPr fontId="1" type="noConversion"/>
  </si>
  <si>
    <t>无用大棒</t>
    <phoneticPr fontId="1" type="noConversion"/>
  </si>
  <si>
    <t>锁子甲</t>
    <phoneticPr fontId="1" type="noConversion"/>
  </si>
  <si>
    <t>负极斗篷</t>
    <phoneticPr fontId="1" type="noConversion"/>
  </si>
  <si>
    <t>巨人杀手</t>
    <phoneticPr fontId="1" type="noConversion"/>
  </si>
  <si>
    <t>凤凰之铠甲</t>
    <phoneticPr fontId="1" type="noConversion"/>
  </si>
  <si>
    <t>虚空之镜</t>
    <phoneticPr fontId="1" type="noConversion"/>
  </si>
  <si>
    <t>嗜血节杖</t>
    <phoneticPr fontId="1" type="noConversion"/>
  </si>
  <si>
    <t>饮血剑</t>
    <phoneticPr fontId="1" type="noConversion"/>
  </si>
  <si>
    <t>无尽之刃</t>
    <phoneticPr fontId="1" type="noConversion"/>
  </si>
  <si>
    <t>刺客的利爪</t>
    <phoneticPr fontId="1" type="noConversion"/>
  </si>
  <si>
    <t>珠光护手</t>
    <phoneticPr fontId="1" type="noConversion"/>
  </si>
  <si>
    <t>角色</t>
    <phoneticPr fontId="1" type="noConversion"/>
  </si>
  <si>
    <t>等级</t>
    <phoneticPr fontId="1" type="noConversion"/>
  </si>
  <si>
    <t>装备栏1</t>
    <phoneticPr fontId="1" type="noConversion"/>
  </si>
  <si>
    <t>装备栏2</t>
    <phoneticPr fontId="1" type="noConversion"/>
  </si>
  <si>
    <t>装备栏3</t>
    <phoneticPr fontId="1" type="noConversion"/>
  </si>
  <si>
    <t>角色</t>
    <phoneticPr fontId="1" type="noConversion"/>
  </si>
  <si>
    <t>承受伤害</t>
    <phoneticPr fontId="1" type="noConversion"/>
  </si>
  <si>
    <t>输出伤害</t>
    <phoneticPr fontId="1" type="noConversion"/>
  </si>
  <si>
    <t>dps</t>
    <phoneticPr fontId="1" type="noConversion"/>
  </si>
  <si>
    <t>队伍1对战数据</t>
    <phoneticPr fontId="1" type="noConversion"/>
  </si>
  <si>
    <t>血量</t>
    <phoneticPr fontId="1" type="noConversion"/>
  </si>
  <si>
    <t>血量</t>
    <phoneticPr fontId="1" type="noConversion"/>
  </si>
  <si>
    <t>队伍2对战数据</t>
    <phoneticPr fontId="1" type="noConversion"/>
  </si>
  <si>
    <t>角色1</t>
    <phoneticPr fontId="1" type="noConversion"/>
  </si>
  <si>
    <t>角色2</t>
    <phoneticPr fontId="1" type="noConversion"/>
  </si>
  <si>
    <t>角色3</t>
    <phoneticPr fontId="1" type="noConversion"/>
  </si>
  <si>
    <t>角色4</t>
    <phoneticPr fontId="1" type="noConversion"/>
  </si>
  <si>
    <t>角色5</t>
    <phoneticPr fontId="1" type="noConversion"/>
  </si>
  <si>
    <t>角色名</t>
    <phoneticPr fontId="1" type="noConversion"/>
  </si>
  <si>
    <t>英雄</t>
    <phoneticPr fontId="1" type="noConversion"/>
  </si>
  <si>
    <t>职业</t>
    <phoneticPr fontId="1" type="noConversion"/>
  </si>
  <si>
    <t>射手</t>
    <phoneticPr fontId="1" type="noConversion"/>
  </si>
  <si>
    <t>刺客</t>
    <phoneticPr fontId="1" type="noConversion"/>
  </si>
  <si>
    <t>狂战士</t>
    <phoneticPr fontId="1" type="noConversion"/>
  </si>
  <si>
    <t>参数设定</t>
    <phoneticPr fontId="1" type="noConversion"/>
  </si>
  <si>
    <t>物理减伤比系数</t>
    <phoneticPr fontId="1" type="noConversion"/>
  </si>
  <si>
    <t>魔法减伤比系数</t>
    <phoneticPr fontId="1" type="noConversion"/>
  </si>
  <si>
    <t>闪避减伤系数</t>
    <phoneticPr fontId="1" type="noConversion"/>
  </si>
  <si>
    <t>红队</t>
    <phoneticPr fontId="1" type="noConversion"/>
  </si>
  <si>
    <t>蓝队</t>
    <phoneticPr fontId="1" type="noConversion"/>
  </si>
  <si>
    <t>存活时间</t>
    <phoneticPr fontId="1" type="noConversion"/>
  </si>
  <si>
    <t>治疗量</t>
    <phoneticPr fontId="1" type="noConversion"/>
  </si>
  <si>
    <t>治疗量</t>
    <phoneticPr fontId="1" type="noConversion"/>
  </si>
  <si>
    <t>魔法坦克</t>
    <phoneticPr fontId="1" type="noConversion"/>
  </si>
  <si>
    <t>辛吉德</t>
    <phoneticPr fontId="1" type="noConversion"/>
  </si>
  <si>
    <t>狂战士</t>
    <phoneticPr fontId="1" type="noConversion"/>
  </si>
  <si>
    <t>混合坦克</t>
    <phoneticPr fontId="1" type="noConversion"/>
  </si>
  <si>
    <t>简易战斗模拟器</t>
    <phoneticPr fontId="1" type="noConversion"/>
  </si>
  <si>
    <t>贾克斯</t>
    <phoneticPr fontId="1" type="noConversion"/>
  </si>
  <si>
    <t>凤凰之铠甲</t>
    <phoneticPr fontId="1" type="noConversion"/>
  </si>
  <si>
    <t>负极斗篷</t>
    <phoneticPr fontId="1" type="noConversion"/>
  </si>
  <si>
    <t>科加斯</t>
    <phoneticPr fontId="1" type="noConversion"/>
  </si>
  <si>
    <t>锁子甲</t>
    <phoneticPr fontId="1" type="noConversion"/>
  </si>
  <si>
    <t>劫</t>
    <phoneticPr fontId="1" type="noConversion"/>
  </si>
  <si>
    <t>辛德拉</t>
    <phoneticPr fontId="1" type="noConversion"/>
  </si>
  <si>
    <t>虚空之镜</t>
    <phoneticPr fontId="1" type="noConversion"/>
  </si>
  <si>
    <t>刺客的利爪</t>
    <phoneticPr fontId="1" type="noConversion"/>
  </si>
  <si>
    <t>无用大棒</t>
    <phoneticPr fontId="1" type="noConversion"/>
  </si>
  <si>
    <t>凤凰之铠甲</t>
    <phoneticPr fontId="1" type="noConversion"/>
  </si>
  <si>
    <t>注：</t>
    <phoneticPr fontId="1" type="noConversion"/>
  </si>
  <si>
    <t>1、红蓝两队中白色字体部分可以选择角色、等级和装备。
2、每个队伍最多五个角色。
3、攻击目标是从上往下依次选择，相当于越上面的就越是前排。</t>
    <phoneticPr fontId="1" type="noConversion"/>
  </si>
  <si>
    <t>虚空之镜</t>
    <phoneticPr fontId="1" type="noConversion"/>
  </si>
  <si>
    <t>墨菲特</t>
    <phoneticPr fontId="1" type="noConversion"/>
  </si>
  <si>
    <t>墨菲特</t>
    <phoneticPr fontId="1" type="noConversion"/>
  </si>
  <si>
    <t>饮血剑</t>
    <phoneticPr fontId="1" type="noConversion"/>
  </si>
  <si>
    <t>凤凰之铠甲</t>
    <phoneticPr fontId="1" type="noConversion"/>
  </si>
  <si>
    <t>辛吉德</t>
    <phoneticPr fontId="1" type="noConversion"/>
  </si>
  <si>
    <t>凯特琳</t>
    <phoneticPr fontId="1" type="noConversion"/>
  </si>
  <si>
    <t>刺客的利爪</t>
    <phoneticPr fontId="1" type="noConversion"/>
  </si>
  <si>
    <t>辛德拉</t>
    <phoneticPr fontId="1" type="noConversion"/>
  </si>
  <si>
    <t>虚空之镜</t>
    <phoneticPr fontId="1" type="noConversion"/>
  </si>
  <si>
    <t>蓝队辛德拉攻击红队辛德拉,造成：113点伤害</t>
    <phoneticPr fontId="1" type="noConversion"/>
  </si>
  <si>
    <t>红队辛德拉攻击蓝队辛德拉,造成：109点伤害</t>
    <phoneticPr fontId="1" type="noConversion"/>
  </si>
  <si>
    <t>蓝队辛德拉攻击红队辛德拉,造成：105点伤害</t>
    <phoneticPr fontId="1" type="noConversion"/>
  </si>
  <si>
    <t>红队辛德拉攻击蓝队辛德拉,造成：113点伤害</t>
    <phoneticPr fontId="1" type="noConversion"/>
  </si>
  <si>
    <t>红队辛德拉攻击蓝队辛德拉,造成：104点伤害</t>
    <phoneticPr fontId="1" type="noConversion"/>
  </si>
  <si>
    <t>蓝队辛德拉攻击红队辛德拉,造成：100点伤害</t>
    <phoneticPr fontId="1" type="noConversion"/>
  </si>
  <si>
    <t>蓝队辛德拉攻击红队辛德拉,造成：97点伤害</t>
    <phoneticPr fontId="1" type="noConversion"/>
  </si>
  <si>
    <t>蓝队辛德拉攻击红队辛德拉,造成：105点伤害</t>
    <phoneticPr fontId="1" type="noConversion"/>
  </si>
  <si>
    <t>红队辛德拉攻击蓝队辛德拉,造成：99点伤害</t>
    <phoneticPr fontId="1" type="noConversion"/>
  </si>
  <si>
    <t>蓝队辛德拉阵亡！！</t>
    <phoneticPr fontId="1" type="noConversion"/>
  </si>
  <si>
    <t>红队胜利</t>
    <phoneticPr fontId="1" type="noConversion"/>
  </si>
  <si>
    <t>科加斯</t>
    <phoneticPr fontId="1" type="noConversion"/>
  </si>
  <si>
    <t>负极斗篷</t>
    <phoneticPr fontId="1" type="noConversion"/>
  </si>
  <si>
    <t>锁子甲</t>
    <phoneticPr fontId="1" type="noConversion"/>
  </si>
  <si>
    <t>无用大棒</t>
    <phoneticPr fontId="1" type="noConversion"/>
  </si>
  <si>
    <t>巨人杀手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</si>
</sst>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等线"/>
      <family val="3"/>
      <charset val="134"/>
    </font>
    <font>
      <b/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sz val="10"/>
      <name val="等线"/>
      <family val="3"/>
      <charset val="134"/>
    </font>
    <font>
      <sz val="10"/>
      <color rgb="FF00B050"/>
      <name val="等线"/>
      <family val="3"/>
      <charset val="134"/>
    </font>
    <font>
      <sz val="11"/>
      <color theme="1"/>
      <name val="等线"/>
      <family val="3"/>
      <charset val="134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theme="0"/>
      <name val="等线"/>
      <family val="3"/>
      <charset val="134"/>
    </font>
    <font>
      <b/>
      <sz val="24"/>
      <color theme="0"/>
      <name val="等线"/>
      <family val="3"/>
      <charset val="134"/>
    </font>
    <font>
      <sz val="11"/>
      <color theme="0"/>
      <name val="宋体"/>
      <family val="2"/>
      <charset val="134"/>
      <scheme val="minor"/>
    </font>
    <font>
      <b/>
      <sz val="16"/>
      <color theme="0"/>
      <name val="等线"/>
      <family val="3"/>
      <charset val="134"/>
    </font>
    <font>
      <sz val="11"/>
      <color rgb="FFFF0000"/>
      <name val="等线"/>
      <family val="3"/>
      <charset val="134"/>
    </font>
    <font>
      <sz val="11"/>
      <color theme="8"/>
      <name val="等线"/>
      <family val="3"/>
      <charset val="134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0" fontId="3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7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10" fontId="2" fillId="0" borderId="0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5" fillId="0" borderId="7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0" fontId="3" fillId="0" borderId="0" xfId="0" applyNumberFormat="1" applyFont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0" fontId="3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9" fontId="2" fillId="0" borderId="7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3" fillId="0" borderId="0" xfId="0" applyFont="1">
      <alignment vertical="center"/>
    </xf>
    <xf numFmtId="10" fontId="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>
      <alignment vertical="center"/>
    </xf>
    <xf numFmtId="0" fontId="2" fillId="0" borderId="8" xfId="0" applyNumberFormat="1" applyFont="1" applyBorder="1" applyAlignment="1">
      <alignment horizontal="center" vertical="center"/>
    </xf>
    <xf numFmtId="0" fontId="2" fillId="0" borderId="7" xfId="0" applyNumberFormat="1" applyFont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top" wrapText="1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9" fontId="0" fillId="0" borderId="7" xfId="0" applyNumberFormat="1" applyBorder="1">
      <alignment vertical="center"/>
    </xf>
    <xf numFmtId="0" fontId="0" fillId="0" borderId="7" xfId="0" applyNumberFormat="1" applyBorder="1">
      <alignment vertical="center"/>
    </xf>
    <xf numFmtId="0" fontId="9" fillId="0" borderId="7" xfId="0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5" borderId="7" xfId="0" applyFont="1" applyFill="1" applyBorder="1">
      <alignment vertical="center"/>
    </xf>
    <xf numFmtId="0" fontId="17" fillId="5" borderId="7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14</xdr:row>
          <xdr:rowOff>85725</xdr:rowOff>
        </xdr:from>
        <xdr:to>
          <xdr:col>12</xdr:col>
          <xdr:colOff>200025</xdr:colOff>
          <xdr:row>16</xdr:row>
          <xdr:rowOff>66675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开始战斗！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14</xdr:row>
          <xdr:rowOff>76200</xdr:rowOff>
        </xdr:from>
        <xdr:to>
          <xdr:col>10</xdr:col>
          <xdr:colOff>142875</xdr:colOff>
          <xdr:row>16</xdr:row>
          <xdr:rowOff>76200</xdr:rowOff>
        </xdr:to>
        <xdr:sp macro="" textlink="">
          <xdr:nvSpPr>
            <xdr:cNvPr id="5782" name="Button 662" hidden="1">
              <a:extLst>
                <a:ext uri="{63B3BB69-23CF-44E3-9099-C40C66FF867C}">
                  <a14:compatExt spid="_x0000_s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workbookViewId="0">
      <selection activeCell="B21" sqref="B21"/>
    </sheetView>
  </sheetViews>
  <sheetFormatPr defaultRowHeight="13.5" x14ac:dyDescent="0.15"/>
  <cols>
    <col min="1" max="1" width="11" style="1" bestFit="1" customWidth="1"/>
    <col min="2" max="3" width="9" style="1"/>
    <col min="4" max="4" width="41.625" style="1" customWidth="1"/>
  </cols>
  <sheetData>
    <row r="1" spans="1:4" x14ac:dyDescent="0.15">
      <c r="A1" s="1" t="s">
        <v>5</v>
      </c>
      <c r="B1" s="1" t="s">
        <v>8</v>
      </c>
      <c r="C1" s="1" t="s">
        <v>6</v>
      </c>
      <c r="D1" s="1" t="s">
        <v>7</v>
      </c>
    </row>
    <row r="2" spans="1:4" x14ac:dyDescent="0.15">
      <c r="A2" s="1" t="s">
        <v>0</v>
      </c>
      <c r="B2" s="1" t="s">
        <v>9</v>
      </c>
      <c r="C2" s="1">
        <v>65535</v>
      </c>
      <c r="D2" s="1" t="s">
        <v>16</v>
      </c>
    </row>
    <row r="3" spans="1:4" x14ac:dyDescent="0.15">
      <c r="A3" s="1" t="s">
        <v>15</v>
      </c>
      <c r="B3" s="1" t="s">
        <v>9</v>
      </c>
      <c r="C3" s="1">
        <v>65535</v>
      </c>
      <c r="D3" s="1" t="s">
        <v>17</v>
      </c>
    </row>
    <row r="4" spans="1:4" x14ac:dyDescent="0.15">
      <c r="A4" s="1" t="s">
        <v>38</v>
      </c>
      <c r="B4" s="1" t="s">
        <v>9</v>
      </c>
      <c r="C4" s="1">
        <v>65536</v>
      </c>
      <c r="D4" s="1" t="s">
        <v>40</v>
      </c>
    </row>
    <row r="5" spans="1:4" x14ac:dyDescent="0.15">
      <c r="A5" s="1" t="s">
        <v>13</v>
      </c>
      <c r="B5" s="1" t="s">
        <v>9</v>
      </c>
      <c r="C5" s="1">
        <v>65535</v>
      </c>
      <c r="D5" s="1" t="s">
        <v>36</v>
      </c>
    </row>
    <row r="6" spans="1:4" x14ac:dyDescent="0.15">
      <c r="A6" s="1" t="s">
        <v>37</v>
      </c>
      <c r="B6" s="1" t="s">
        <v>9</v>
      </c>
      <c r="C6" s="1">
        <v>65536</v>
      </c>
      <c r="D6" s="1" t="s">
        <v>39</v>
      </c>
    </row>
    <row r="7" spans="1:4" x14ac:dyDescent="0.15">
      <c r="A7" s="1" t="s">
        <v>1</v>
      </c>
      <c r="B7" s="1" t="s">
        <v>10</v>
      </c>
      <c r="C7" s="2">
        <v>1</v>
      </c>
      <c r="D7" s="1" t="s">
        <v>19</v>
      </c>
    </row>
    <row r="8" spans="1:4" x14ac:dyDescent="0.15">
      <c r="A8" s="1" t="s">
        <v>41</v>
      </c>
      <c r="B8" s="1" t="s">
        <v>10</v>
      </c>
      <c r="C8" s="2">
        <v>1</v>
      </c>
      <c r="D8" s="1" t="s">
        <v>42</v>
      </c>
    </row>
    <row r="9" spans="1:4" x14ac:dyDescent="0.15">
      <c r="A9" s="1" t="s">
        <v>2</v>
      </c>
      <c r="B9" s="1" t="s">
        <v>11</v>
      </c>
      <c r="C9" s="1">
        <v>3</v>
      </c>
      <c r="D9" s="1" t="s">
        <v>20</v>
      </c>
    </row>
    <row r="10" spans="1:4" x14ac:dyDescent="0.15">
      <c r="A10" s="1" t="s">
        <v>3</v>
      </c>
      <c r="B10" s="1" t="s">
        <v>12</v>
      </c>
      <c r="C10" s="2">
        <v>1</v>
      </c>
      <c r="D10" s="1" t="s">
        <v>21</v>
      </c>
    </row>
    <row r="11" spans="1:4" x14ac:dyDescent="0.15">
      <c r="A11" s="1" t="s">
        <v>4</v>
      </c>
      <c r="B11" s="1" t="s">
        <v>10</v>
      </c>
      <c r="C11" s="2">
        <v>5</v>
      </c>
      <c r="D11" s="1" t="s">
        <v>22</v>
      </c>
    </row>
    <row r="12" spans="1:4" x14ac:dyDescent="0.15">
      <c r="A12" s="1" t="s">
        <v>18</v>
      </c>
      <c r="B12" s="1" t="s">
        <v>10</v>
      </c>
      <c r="C12" s="2">
        <v>1</v>
      </c>
      <c r="D12" s="1" t="s">
        <v>23</v>
      </c>
    </row>
    <row r="13" spans="1:4" x14ac:dyDescent="0.15">
      <c r="A13" s="1" t="s">
        <v>44</v>
      </c>
      <c r="B13" s="1" t="s">
        <v>12</v>
      </c>
      <c r="C13" s="2">
        <v>1</v>
      </c>
      <c r="D13" s="1" t="s">
        <v>45</v>
      </c>
    </row>
    <row r="14" spans="1:4" x14ac:dyDescent="0.15">
      <c r="A14" s="1" t="s">
        <v>43</v>
      </c>
      <c r="B14" s="1" t="s">
        <v>12</v>
      </c>
      <c r="C14" s="2">
        <v>2</v>
      </c>
      <c r="D14" s="1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B10" sqref="B10"/>
    </sheetView>
  </sheetViews>
  <sheetFormatPr defaultRowHeight="12.75" x14ac:dyDescent="0.15"/>
  <cols>
    <col min="1" max="1" width="11" style="17" bestFit="1" customWidth="1"/>
    <col min="2" max="2" width="17.375" style="18" bestFit="1" customWidth="1"/>
    <col min="3" max="3" width="56.5" style="19" bestFit="1" customWidth="1"/>
    <col min="4" max="4" width="11.375" style="17" bestFit="1" customWidth="1"/>
    <col min="5" max="5" width="9" style="17"/>
    <col min="6" max="6" width="13.125" style="17" bestFit="1" customWidth="1"/>
    <col min="7" max="16384" width="9" style="3"/>
  </cols>
  <sheetData>
    <row r="1" spans="1:7" ht="13.5" thickBot="1" x14ac:dyDescent="0.2">
      <c r="F1" s="17" t="s">
        <v>195</v>
      </c>
    </row>
    <row r="2" spans="1:7" x14ac:dyDescent="0.15">
      <c r="A2" s="49" t="s">
        <v>88</v>
      </c>
      <c r="B2" s="50"/>
      <c r="C2" s="32"/>
      <c r="D2" s="33"/>
      <c r="F2" s="17" t="s">
        <v>196</v>
      </c>
      <c r="G2" s="3">
        <v>100</v>
      </c>
    </row>
    <row r="3" spans="1:7" x14ac:dyDescent="0.15">
      <c r="A3" s="24" t="s">
        <v>89</v>
      </c>
      <c r="B3" s="25" t="s">
        <v>98</v>
      </c>
      <c r="C3" s="24" t="s">
        <v>29</v>
      </c>
      <c r="D3" s="26" t="s">
        <v>87</v>
      </c>
      <c r="F3" s="17" t="s">
        <v>197</v>
      </c>
      <c r="G3" s="3">
        <v>100</v>
      </c>
    </row>
    <row r="4" spans="1:7" x14ac:dyDescent="0.15">
      <c r="A4" s="27" t="s">
        <v>90</v>
      </c>
      <c r="B4" s="15" t="s">
        <v>24</v>
      </c>
      <c r="C4" s="28" t="s">
        <v>25</v>
      </c>
      <c r="D4" s="29">
        <v>1</v>
      </c>
      <c r="F4" s="17" t="s">
        <v>198</v>
      </c>
      <c r="G4" s="3">
        <v>0</v>
      </c>
    </row>
    <row r="5" spans="1:7" x14ac:dyDescent="0.15">
      <c r="A5" s="27" t="s">
        <v>91</v>
      </c>
      <c r="B5" s="15" t="s">
        <v>47</v>
      </c>
      <c r="C5" s="28" t="s">
        <v>48</v>
      </c>
      <c r="D5" s="29">
        <v>1</v>
      </c>
    </row>
    <row r="7" spans="1:7" ht="13.5" thickBot="1" x14ac:dyDescent="0.2"/>
    <row r="8" spans="1:7" ht="13.5" thickBot="1" x14ac:dyDescent="0.2">
      <c r="A8" s="54" t="s">
        <v>26</v>
      </c>
      <c r="B8" s="55"/>
      <c r="C8" s="32"/>
      <c r="D8" s="33"/>
    </row>
    <row r="9" spans="1:7" x14ac:dyDescent="0.15">
      <c r="A9" s="4" t="s">
        <v>27</v>
      </c>
      <c r="B9" s="5" t="s">
        <v>28</v>
      </c>
      <c r="C9" s="6" t="s">
        <v>29</v>
      </c>
      <c r="D9" s="7" t="s">
        <v>30</v>
      </c>
    </row>
    <row r="10" spans="1:7" x14ac:dyDescent="0.15">
      <c r="A10" s="8">
        <v>1</v>
      </c>
      <c r="B10" s="9" t="s">
        <v>31</v>
      </c>
      <c r="C10" s="10" t="s">
        <v>49</v>
      </c>
      <c r="D10" s="11" t="s">
        <v>32</v>
      </c>
    </row>
    <row r="11" spans="1:7" x14ac:dyDescent="0.15">
      <c r="A11" s="8">
        <v>2</v>
      </c>
      <c r="B11" s="9" t="s">
        <v>34</v>
      </c>
      <c r="C11" s="10" t="s">
        <v>50</v>
      </c>
      <c r="D11" s="11" t="s">
        <v>35</v>
      </c>
    </row>
    <row r="12" spans="1:7" x14ac:dyDescent="0.15">
      <c r="A12" s="8">
        <v>3</v>
      </c>
      <c r="B12" s="9" t="s">
        <v>52</v>
      </c>
      <c r="C12" s="10" t="s">
        <v>51</v>
      </c>
      <c r="D12" s="12" t="s">
        <v>33</v>
      </c>
    </row>
    <row r="13" spans="1:7" ht="13.5" thickBot="1" x14ac:dyDescent="0.2">
      <c r="A13" s="20"/>
      <c r="B13" s="21"/>
      <c r="C13" s="13"/>
      <c r="D13" s="14"/>
    </row>
    <row r="14" spans="1:7" ht="13.5" thickBot="1" x14ac:dyDescent="0.2">
      <c r="A14" s="49" t="s">
        <v>97</v>
      </c>
      <c r="B14" s="50"/>
      <c r="C14" s="32"/>
      <c r="D14" s="33"/>
    </row>
    <row r="15" spans="1:7" x14ac:dyDescent="0.15">
      <c r="A15" s="4" t="s">
        <v>60</v>
      </c>
      <c r="B15" s="5" t="s">
        <v>54</v>
      </c>
      <c r="C15" s="6" t="s">
        <v>61</v>
      </c>
      <c r="D15" s="7" t="s">
        <v>55</v>
      </c>
    </row>
    <row r="16" spans="1:7" x14ac:dyDescent="0.15">
      <c r="A16" s="51" t="s">
        <v>62</v>
      </c>
      <c r="B16" s="16" t="s">
        <v>69</v>
      </c>
      <c r="C16" s="10" t="s">
        <v>65</v>
      </c>
      <c r="D16" s="45">
        <v>65535</v>
      </c>
    </row>
    <row r="17" spans="1:4" x14ac:dyDescent="0.15">
      <c r="A17" s="51"/>
      <c r="B17" s="16" t="s">
        <v>70</v>
      </c>
      <c r="C17" s="10" t="s">
        <v>66</v>
      </c>
      <c r="D17" s="45">
        <v>65535</v>
      </c>
    </row>
    <row r="18" spans="1:4" x14ac:dyDescent="0.15">
      <c r="A18" s="51" t="s">
        <v>63</v>
      </c>
      <c r="B18" s="16" t="s">
        <v>67</v>
      </c>
      <c r="C18" s="10" t="s">
        <v>94</v>
      </c>
      <c r="D18" s="45">
        <v>65535</v>
      </c>
    </row>
    <row r="19" spans="1:4" x14ac:dyDescent="0.15">
      <c r="A19" s="51"/>
      <c r="B19" s="16" t="s">
        <v>68</v>
      </c>
      <c r="C19" s="10" t="s">
        <v>93</v>
      </c>
      <c r="D19" s="45">
        <v>65535</v>
      </c>
    </row>
    <row r="20" spans="1:4" x14ac:dyDescent="0.15">
      <c r="A20" s="51" t="s">
        <v>64</v>
      </c>
      <c r="B20" s="16" t="s">
        <v>71</v>
      </c>
      <c r="C20" s="10" t="s">
        <v>95</v>
      </c>
      <c r="D20" s="45">
        <v>65535</v>
      </c>
    </row>
    <row r="21" spans="1:4" x14ac:dyDescent="0.15">
      <c r="A21" s="51"/>
      <c r="B21" s="16" t="s">
        <v>72</v>
      </c>
      <c r="C21" s="10" t="s">
        <v>96</v>
      </c>
      <c r="D21" s="45">
        <v>65535</v>
      </c>
    </row>
    <row r="22" spans="1:4" ht="13.5" thickBot="1" x14ac:dyDescent="0.2">
      <c r="A22" s="30"/>
      <c r="B22" s="31"/>
      <c r="C22" s="13"/>
      <c r="D22" s="14"/>
    </row>
    <row r="23" spans="1:4" x14ac:dyDescent="0.15">
      <c r="A23" s="56" t="s">
        <v>53</v>
      </c>
      <c r="B23" s="57"/>
      <c r="C23" s="22"/>
      <c r="D23" s="23"/>
    </row>
    <row r="24" spans="1:4" x14ac:dyDescent="0.15">
      <c r="A24" s="24" t="s">
        <v>59</v>
      </c>
      <c r="B24" s="25" t="s">
        <v>54</v>
      </c>
      <c r="C24" s="24" t="s">
        <v>92</v>
      </c>
      <c r="D24" s="26" t="s">
        <v>55</v>
      </c>
    </row>
    <row r="25" spans="1:4" x14ac:dyDescent="0.15">
      <c r="A25" s="58" t="s">
        <v>56</v>
      </c>
      <c r="B25" s="15" t="s">
        <v>76</v>
      </c>
      <c r="C25" s="10" t="s">
        <v>74</v>
      </c>
      <c r="D25" s="46">
        <v>65535</v>
      </c>
    </row>
    <row r="26" spans="1:4" x14ac:dyDescent="0.15">
      <c r="A26" s="58"/>
      <c r="B26" s="15" t="s">
        <v>73</v>
      </c>
      <c r="C26" s="10" t="s">
        <v>75</v>
      </c>
      <c r="D26" s="46">
        <v>65535</v>
      </c>
    </row>
    <row r="27" spans="1:4" x14ac:dyDescent="0.15">
      <c r="A27" s="58" t="s">
        <v>57</v>
      </c>
      <c r="B27" s="16" t="s">
        <v>79</v>
      </c>
      <c r="C27" s="10" t="s">
        <v>77</v>
      </c>
      <c r="D27" s="46">
        <v>65535</v>
      </c>
    </row>
    <row r="28" spans="1:4" x14ac:dyDescent="0.15">
      <c r="A28" s="58"/>
      <c r="B28" s="16" t="s">
        <v>80</v>
      </c>
      <c r="C28" s="10" t="s">
        <v>78</v>
      </c>
      <c r="D28" s="46">
        <v>65535</v>
      </c>
    </row>
    <row r="29" spans="1:4" x14ac:dyDescent="0.15">
      <c r="A29" s="58"/>
      <c r="B29" s="16" t="s">
        <v>58</v>
      </c>
      <c r="C29" s="10" t="s">
        <v>81</v>
      </c>
      <c r="D29" s="46">
        <v>65535</v>
      </c>
    </row>
    <row r="30" spans="1:4" x14ac:dyDescent="0.15">
      <c r="A30" s="52" t="s">
        <v>82</v>
      </c>
      <c r="B30" s="15" t="s">
        <v>83</v>
      </c>
      <c r="C30" s="28" t="s">
        <v>84</v>
      </c>
      <c r="D30" s="46">
        <v>65535</v>
      </c>
    </row>
    <row r="31" spans="1:4" x14ac:dyDescent="0.15">
      <c r="A31" s="53"/>
      <c r="B31" s="15" t="s">
        <v>85</v>
      </c>
      <c r="C31" s="28" t="s">
        <v>86</v>
      </c>
      <c r="D31" s="46">
        <v>65535</v>
      </c>
    </row>
  </sheetData>
  <mergeCells count="10">
    <mergeCell ref="A2:B2"/>
    <mergeCell ref="A18:A19"/>
    <mergeCell ref="A20:A21"/>
    <mergeCell ref="A30:A31"/>
    <mergeCell ref="A8:B8"/>
    <mergeCell ref="A23:B23"/>
    <mergeCell ref="A25:A26"/>
    <mergeCell ref="A27:A29"/>
    <mergeCell ref="A14:B14"/>
    <mergeCell ref="A16:A1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7"/>
  <sheetViews>
    <sheetView workbookViewId="0">
      <selection activeCell="H24" sqref="H24"/>
    </sheetView>
  </sheetViews>
  <sheetFormatPr defaultRowHeight="13.5" x14ac:dyDescent="0.15"/>
  <cols>
    <col min="1" max="1" width="13" style="1" bestFit="1" customWidth="1"/>
    <col min="2" max="2" width="9" style="1" bestFit="1" customWidth="1"/>
    <col min="3" max="4" width="9" style="1"/>
    <col min="5" max="6" width="11" style="1" bestFit="1" customWidth="1"/>
    <col min="7" max="16384" width="9" style="1"/>
  </cols>
  <sheetData>
    <row r="1" spans="1:19" x14ac:dyDescent="0.15">
      <c r="R1" s="1" t="s">
        <v>190</v>
      </c>
      <c r="S1" s="1" t="s">
        <v>191</v>
      </c>
    </row>
    <row r="2" spans="1:19" x14ac:dyDescent="0.15">
      <c r="A2" s="75" t="s">
        <v>130</v>
      </c>
      <c r="B2" s="76" t="s">
        <v>99</v>
      </c>
      <c r="C2" s="76" t="s">
        <v>100</v>
      </c>
      <c r="D2" s="76" t="s">
        <v>14</v>
      </c>
      <c r="E2" s="76" t="s">
        <v>101</v>
      </c>
      <c r="F2" s="76" t="s">
        <v>102</v>
      </c>
      <c r="G2" s="76" t="s">
        <v>103</v>
      </c>
      <c r="H2" s="76" t="s">
        <v>104</v>
      </c>
      <c r="I2" s="76" t="s">
        <v>2</v>
      </c>
      <c r="J2" s="76" t="s">
        <v>105</v>
      </c>
      <c r="K2" s="76" t="s">
        <v>106</v>
      </c>
      <c r="L2" s="76" t="s">
        <v>107</v>
      </c>
      <c r="M2" s="76" t="s">
        <v>44</v>
      </c>
      <c r="N2" s="76" t="s">
        <v>108</v>
      </c>
      <c r="R2" s="1" t="s">
        <v>112</v>
      </c>
      <c r="S2" s="1" t="s">
        <v>141</v>
      </c>
    </row>
    <row r="3" spans="1:19" x14ac:dyDescent="0.15">
      <c r="A3" s="70" t="s">
        <v>132</v>
      </c>
      <c r="B3" s="73">
        <v>300</v>
      </c>
      <c r="C3" s="73">
        <v>50</v>
      </c>
      <c r="D3" s="73">
        <v>50</v>
      </c>
      <c r="E3" s="73">
        <v>60</v>
      </c>
      <c r="F3" s="73">
        <v>60</v>
      </c>
      <c r="G3" s="73">
        <v>10</v>
      </c>
      <c r="H3" s="73">
        <v>10</v>
      </c>
      <c r="I3" s="73">
        <v>1</v>
      </c>
      <c r="J3" s="74">
        <v>0.1</v>
      </c>
      <c r="K3" s="74">
        <v>2</v>
      </c>
      <c r="L3" s="74">
        <v>0.1</v>
      </c>
      <c r="M3" s="74">
        <v>0.1</v>
      </c>
      <c r="N3" s="74">
        <v>0.1</v>
      </c>
      <c r="R3" s="1" t="s">
        <v>113</v>
      </c>
      <c r="S3" s="1" t="s">
        <v>121</v>
      </c>
    </row>
    <row r="4" spans="1:19" x14ac:dyDescent="0.15">
      <c r="J4" s="2"/>
      <c r="K4" s="2"/>
      <c r="L4" s="2"/>
      <c r="M4" s="2"/>
      <c r="N4" s="2"/>
      <c r="R4" s="1" t="s">
        <v>114</v>
      </c>
      <c r="S4" s="1" t="s">
        <v>141</v>
      </c>
    </row>
    <row r="5" spans="1:19" x14ac:dyDescent="0.15">
      <c r="A5" s="75" t="s">
        <v>136</v>
      </c>
      <c r="B5" s="76" t="s">
        <v>99</v>
      </c>
      <c r="C5" s="76" t="s">
        <v>100</v>
      </c>
      <c r="D5" s="76" t="s">
        <v>14</v>
      </c>
      <c r="E5" s="76" t="s">
        <v>101</v>
      </c>
      <c r="F5" s="76" t="s">
        <v>102</v>
      </c>
      <c r="G5" s="76" t="s">
        <v>103</v>
      </c>
      <c r="H5" s="76" t="s">
        <v>104</v>
      </c>
      <c r="I5" s="76" t="s">
        <v>2</v>
      </c>
      <c r="J5" s="76" t="s">
        <v>105</v>
      </c>
      <c r="K5" s="76" t="s">
        <v>106</v>
      </c>
      <c r="L5" s="76" t="s">
        <v>107</v>
      </c>
      <c r="M5" s="76" t="s">
        <v>44</v>
      </c>
      <c r="N5" s="76" t="s">
        <v>108</v>
      </c>
      <c r="R5" s="1" t="s">
        <v>115</v>
      </c>
      <c r="S5" s="1" t="s">
        <v>206</v>
      </c>
    </row>
    <row r="6" spans="1:19" x14ac:dyDescent="0.15">
      <c r="A6" s="77">
        <v>1</v>
      </c>
      <c r="B6" s="73">
        <v>1.3</v>
      </c>
      <c r="C6" s="73">
        <v>1.3</v>
      </c>
      <c r="D6" s="73">
        <v>1.3</v>
      </c>
      <c r="E6" s="73">
        <v>1.3</v>
      </c>
      <c r="F6" s="73">
        <v>1.3</v>
      </c>
      <c r="G6" s="73">
        <v>1</v>
      </c>
      <c r="H6" s="73">
        <v>1</v>
      </c>
      <c r="I6" s="73">
        <v>1.3</v>
      </c>
      <c r="J6" s="73">
        <v>1.3</v>
      </c>
      <c r="K6" s="73">
        <v>1</v>
      </c>
      <c r="L6" s="73">
        <v>1</v>
      </c>
      <c r="M6" s="73">
        <v>1</v>
      </c>
      <c r="N6" s="73">
        <v>1</v>
      </c>
      <c r="R6" s="1" t="s">
        <v>116</v>
      </c>
      <c r="S6" s="1" t="s">
        <v>192</v>
      </c>
    </row>
    <row r="7" spans="1:19" x14ac:dyDescent="0.15">
      <c r="A7" s="77">
        <v>2</v>
      </c>
      <c r="B7" s="73">
        <v>1.5</v>
      </c>
      <c r="C7" s="73">
        <v>1.5</v>
      </c>
      <c r="D7" s="73">
        <v>1.5</v>
      </c>
      <c r="E7" s="73">
        <v>1.5</v>
      </c>
      <c r="F7" s="73">
        <v>1.5</v>
      </c>
      <c r="G7" s="73">
        <v>1</v>
      </c>
      <c r="H7" s="73">
        <v>1</v>
      </c>
      <c r="I7" s="73">
        <v>1.5</v>
      </c>
      <c r="J7" s="73">
        <v>1.5</v>
      </c>
      <c r="K7" s="73">
        <v>1</v>
      </c>
      <c r="L7" s="73">
        <v>1</v>
      </c>
      <c r="M7" s="73">
        <v>1</v>
      </c>
      <c r="N7" s="73">
        <v>1</v>
      </c>
      <c r="R7" s="1" t="s">
        <v>117</v>
      </c>
      <c r="S7" s="1" t="s">
        <v>121</v>
      </c>
    </row>
    <row r="8" spans="1:19" x14ac:dyDescent="0.15">
      <c r="A8" s="77">
        <v>3</v>
      </c>
      <c r="B8" s="73">
        <v>1.6</v>
      </c>
      <c r="C8" s="73">
        <v>1.6</v>
      </c>
      <c r="D8" s="73">
        <v>1.6</v>
      </c>
      <c r="E8" s="73">
        <v>1.6</v>
      </c>
      <c r="F8" s="73">
        <v>1.6</v>
      </c>
      <c r="G8" s="73">
        <v>1</v>
      </c>
      <c r="H8" s="73">
        <v>1</v>
      </c>
      <c r="I8" s="73">
        <v>1.6</v>
      </c>
      <c r="J8" s="73">
        <v>1.6</v>
      </c>
      <c r="K8" s="73">
        <v>1</v>
      </c>
      <c r="L8" s="73">
        <v>1</v>
      </c>
      <c r="M8" s="73">
        <v>1</v>
      </c>
      <c r="N8" s="73">
        <v>1</v>
      </c>
      <c r="R8" s="1" t="s">
        <v>118</v>
      </c>
      <c r="S8" s="1" t="s">
        <v>122</v>
      </c>
    </row>
    <row r="9" spans="1:19" x14ac:dyDescent="0.15">
      <c r="R9" s="1" t="s">
        <v>126</v>
      </c>
      <c r="S9" s="1" t="s">
        <v>204</v>
      </c>
    </row>
    <row r="10" spans="1:19" x14ac:dyDescent="0.15">
      <c r="A10" s="75" t="s">
        <v>131</v>
      </c>
      <c r="B10" s="76" t="s">
        <v>135</v>
      </c>
      <c r="C10" s="76" t="s">
        <v>99</v>
      </c>
      <c r="D10" s="76" t="s">
        <v>100</v>
      </c>
      <c r="E10" s="76" t="s">
        <v>14</v>
      </c>
      <c r="F10" s="76" t="s">
        <v>101</v>
      </c>
      <c r="G10" s="76" t="s">
        <v>102</v>
      </c>
      <c r="H10" s="76" t="s">
        <v>103</v>
      </c>
      <c r="I10" s="76" t="s">
        <v>104</v>
      </c>
      <c r="J10" s="76" t="s">
        <v>2</v>
      </c>
      <c r="K10" s="76" t="s">
        <v>105</v>
      </c>
      <c r="L10" s="76" t="s">
        <v>106</v>
      </c>
      <c r="M10" s="76" t="s">
        <v>107</v>
      </c>
      <c r="N10" s="76" t="s">
        <v>44</v>
      </c>
      <c r="O10" s="76" t="s">
        <v>108</v>
      </c>
      <c r="P10" s="76" t="s">
        <v>156</v>
      </c>
      <c r="R10" s="1" t="s">
        <v>128</v>
      </c>
      <c r="S10" s="1" t="s">
        <v>193</v>
      </c>
    </row>
    <row r="11" spans="1:19" x14ac:dyDescent="0.15">
      <c r="A11" s="76" t="s">
        <v>119</v>
      </c>
      <c r="B11" s="73">
        <v>0</v>
      </c>
      <c r="C11" s="73">
        <v>1.7</v>
      </c>
      <c r="D11" s="73">
        <v>1.2</v>
      </c>
      <c r="E11" s="73">
        <v>1.2</v>
      </c>
      <c r="F11" s="73">
        <v>1.1000000000000001</v>
      </c>
      <c r="G11" s="73">
        <v>1.1000000000000001</v>
      </c>
      <c r="H11" s="73">
        <v>0</v>
      </c>
      <c r="I11" s="73">
        <v>0</v>
      </c>
      <c r="J11" s="73">
        <v>1.1000000000000001</v>
      </c>
      <c r="K11" s="73">
        <v>0</v>
      </c>
      <c r="L11" s="73">
        <v>1</v>
      </c>
      <c r="M11" s="73">
        <v>0</v>
      </c>
      <c r="N11" s="73">
        <v>0</v>
      </c>
      <c r="O11" s="73">
        <v>0</v>
      </c>
      <c r="P11" s="73">
        <f>SUM(B11:O11)</f>
        <v>8.3999999999999986</v>
      </c>
      <c r="R11" s="1" t="s">
        <v>129</v>
      </c>
      <c r="S11" s="1" t="s">
        <v>194</v>
      </c>
    </row>
    <row r="12" spans="1:19" x14ac:dyDescent="0.15">
      <c r="A12" s="76" t="s">
        <v>125</v>
      </c>
      <c r="B12" s="73">
        <v>0</v>
      </c>
      <c r="C12" s="73">
        <v>1.6</v>
      </c>
      <c r="D12" s="73">
        <v>0.8</v>
      </c>
      <c r="E12" s="73">
        <v>0.8</v>
      </c>
      <c r="F12" s="73">
        <v>1.2</v>
      </c>
      <c r="G12" s="73">
        <v>1.2</v>
      </c>
      <c r="H12" s="73">
        <v>0</v>
      </c>
      <c r="I12" s="73">
        <v>0</v>
      </c>
      <c r="J12" s="73">
        <v>1</v>
      </c>
      <c r="K12" s="73">
        <v>0</v>
      </c>
      <c r="L12" s="73">
        <v>1</v>
      </c>
      <c r="M12" s="73">
        <v>0</v>
      </c>
      <c r="N12" s="73">
        <v>1</v>
      </c>
      <c r="O12" s="73">
        <v>0</v>
      </c>
      <c r="P12" s="73">
        <f t="shared" ref="P12:P18" si="0">SUM(B12:O12)</f>
        <v>8.6000000000000014</v>
      </c>
      <c r="R12" s="1" t="s">
        <v>205</v>
      </c>
      <c r="S12" s="1" t="s">
        <v>207</v>
      </c>
    </row>
    <row r="13" spans="1:19" x14ac:dyDescent="0.15">
      <c r="A13" s="76" t="s">
        <v>120</v>
      </c>
      <c r="B13" s="73">
        <v>0</v>
      </c>
      <c r="C13" s="73">
        <v>1</v>
      </c>
      <c r="D13" s="73">
        <v>0.6</v>
      </c>
      <c r="E13" s="73">
        <v>0.6</v>
      </c>
      <c r="F13" s="73">
        <v>1.7</v>
      </c>
      <c r="G13" s="73">
        <v>1.7</v>
      </c>
      <c r="H13" s="73">
        <v>0</v>
      </c>
      <c r="I13" s="73">
        <v>0</v>
      </c>
      <c r="J13" s="73">
        <v>1.1000000000000001</v>
      </c>
      <c r="K13" s="73">
        <v>0</v>
      </c>
      <c r="L13" s="73">
        <v>1</v>
      </c>
      <c r="M13" s="73">
        <v>0</v>
      </c>
      <c r="N13" s="73">
        <v>0</v>
      </c>
      <c r="O13" s="73">
        <v>0</v>
      </c>
      <c r="P13" s="73">
        <f t="shared" si="0"/>
        <v>7.7000000000000011</v>
      </c>
    </row>
    <row r="14" spans="1:19" x14ac:dyDescent="0.15">
      <c r="A14" s="76" t="s">
        <v>121</v>
      </c>
      <c r="B14" s="73">
        <v>1</v>
      </c>
      <c r="C14" s="73">
        <v>1</v>
      </c>
      <c r="D14" s="73">
        <v>0.6</v>
      </c>
      <c r="E14" s="73">
        <v>0.6</v>
      </c>
      <c r="F14" s="73">
        <v>1.7</v>
      </c>
      <c r="G14" s="73">
        <v>1.7</v>
      </c>
      <c r="H14" s="73">
        <v>0</v>
      </c>
      <c r="I14" s="73">
        <v>0</v>
      </c>
      <c r="J14" s="73">
        <v>1.1000000000000001</v>
      </c>
      <c r="K14" s="73">
        <v>0</v>
      </c>
      <c r="L14" s="73">
        <v>1</v>
      </c>
      <c r="M14" s="73">
        <v>0</v>
      </c>
      <c r="N14" s="73">
        <v>0</v>
      </c>
      <c r="O14" s="73">
        <v>0</v>
      </c>
      <c r="P14" s="73">
        <f t="shared" si="0"/>
        <v>8.7000000000000011</v>
      </c>
    </row>
    <row r="15" spans="1:19" x14ac:dyDescent="0.15">
      <c r="A15" s="76" t="s">
        <v>127</v>
      </c>
      <c r="B15" s="73">
        <v>0</v>
      </c>
      <c r="C15" s="73">
        <v>1</v>
      </c>
      <c r="D15" s="73">
        <v>0.8</v>
      </c>
      <c r="E15" s="73">
        <v>0.8</v>
      </c>
      <c r="F15" s="73">
        <v>1.5</v>
      </c>
      <c r="G15" s="73">
        <v>1.5</v>
      </c>
      <c r="H15" s="73">
        <v>0</v>
      </c>
      <c r="I15" s="73">
        <v>0</v>
      </c>
      <c r="J15" s="73">
        <v>1</v>
      </c>
      <c r="K15" s="73">
        <v>1</v>
      </c>
      <c r="L15" s="73">
        <v>1</v>
      </c>
      <c r="M15" s="73">
        <v>0</v>
      </c>
      <c r="N15" s="73">
        <v>0</v>
      </c>
      <c r="O15" s="73">
        <v>0</v>
      </c>
      <c r="P15" s="73">
        <f t="shared" si="0"/>
        <v>8.6</v>
      </c>
    </row>
    <row r="16" spans="1:19" x14ac:dyDescent="0.15">
      <c r="A16" s="76" t="s">
        <v>122</v>
      </c>
      <c r="B16" s="73">
        <v>0</v>
      </c>
      <c r="C16" s="73">
        <v>2.5</v>
      </c>
      <c r="D16" s="73">
        <v>1.5</v>
      </c>
      <c r="E16" s="73">
        <v>0.5</v>
      </c>
      <c r="F16" s="73">
        <v>0.8</v>
      </c>
      <c r="G16" s="73">
        <v>0.8</v>
      </c>
      <c r="H16" s="73">
        <v>0</v>
      </c>
      <c r="I16" s="73">
        <v>0</v>
      </c>
      <c r="J16" s="73">
        <v>0.7</v>
      </c>
      <c r="K16" s="73">
        <v>0</v>
      </c>
      <c r="L16" s="73">
        <v>1</v>
      </c>
      <c r="M16" s="73">
        <v>0</v>
      </c>
      <c r="N16" s="73">
        <v>0</v>
      </c>
      <c r="O16" s="73">
        <v>0</v>
      </c>
      <c r="P16" s="73">
        <f t="shared" si="0"/>
        <v>7.8</v>
      </c>
    </row>
    <row r="17" spans="1:17" x14ac:dyDescent="0.15">
      <c r="A17" s="76" t="s">
        <v>123</v>
      </c>
      <c r="B17" s="73">
        <v>1</v>
      </c>
      <c r="C17" s="73">
        <v>2.5</v>
      </c>
      <c r="D17" s="73">
        <v>0.5</v>
      </c>
      <c r="E17" s="73">
        <v>1.5</v>
      </c>
      <c r="F17" s="73">
        <v>0.8</v>
      </c>
      <c r="G17" s="73">
        <v>0.8</v>
      </c>
      <c r="H17" s="73">
        <v>0</v>
      </c>
      <c r="I17" s="73">
        <v>0</v>
      </c>
      <c r="J17" s="73">
        <v>0.7</v>
      </c>
      <c r="K17" s="73">
        <v>0</v>
      </c>
      <c r="L17" s="73">
        <v>1</v>
      </c>
      <c r="M17" s="73">
        <v>0</v>
      </c>
      <c r="N17" s="73">
        <v>0</v>
      </c>
      <c r="O17" s="73">
        <v>0</v>
      </c>
      <c r="P17" s="73">
        <f t="shared" si="0"/>
        <v>8.8000000000000007</v>
      </c>
    </row>
    <row r="18" spans="1:17" x14ac:dyDescent="0.15">
      <c r="A18" s="76" t="s">
        <v>124</v>
      </c>
      <c r="B18" s="73">
        <v>1</v>
      </c>
      <c r="C18" s="73">
        <v>2.2999999999999998</v>
      </c>
      <c r="D18" s="73">
        <v>1</v>
      </c>
      <c r="E18" s="73">
        <v>1</v>
      </c>
      <c r="F18" s="73">
        <v>0.7</v>
      </c>
      <c r="G18" s="73">
        <v>0.7</v>
      </c>
      <c r="H18" s="73">
        <v>0</v>
      </c>
      <c r="I18" s="73">
        <v>0</v>
      </c>
      <c r="J18" s="73">
        <v>0.8</v>
      </c>
      <c r="K18" s="73">
        <v>0</v>
      </c>
      <c r="L18" s="73">
        <v>1</v>
      </c>
      <c r="M18" s="73">
        <v>0</v>
      </c>
      <c r="N18" s="73">
        <v>0</v>
      </c>
      <c r="O18" s="73">
        <v>0</v>
      </c>
      <c r="P18" s="73">
        <f t="shared" si="0"/>
        <v>8.5</v>
      </c>
    </row>
    <row r="20" spans="1:17" x14ac:dyDescent="0.15"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</row>
    <row r="21" spans="1:17" x14ac:dyDescent="0.15">
      <c r="A21" s="75" t="s">
        <v>109</v>
      </c>
      <c r="B21" s="76" t="s">
        <v>133</v>
      </c>
      <c r="C21" s="76" t="s">
        <v>134</v>
      </c>
      <c r="D21" s="76" t="s">
        <v>110</v>
      </c>
      <c r="E21" s="76" t="s">
        <v>99</v>
      </c>
      <c r="F21" s="76" t="s">
        <v>100</v>
      </c>
      <c r="G21" s="76" t="s">
        <v>14</v>
      </c>
      <c r="H21" s="76" t="s">
        <v>101</v>
      </c>
      <c r="I21" s="76" t="s">
        <v>102</v>
      </c>
      <c r="J21" s="76" t="s">
        <v>103</v>
      </c>
      <c r="K21" s="76" t="s">
        <v>104</v>
      </c>
      <c r="L21" s="76" t="s">
        <v>2</v>
      </c>
      <c r="M21" s="76" t="s">
        <v>105</v>
      </c>
      <c r="N21" s="76" t="s">
        <v>106</v>
      </c>
      <c r="O21" s="76" t="s">
        <v>107</v>
      </c>
      <c r="P21" s="76" t="s">
        <v>44</v>
      </c>
      <c r="Q21" s="76" t="s">
        <v>108</v>
      </c>
    </row>
    <row r="22" spans="1:17" x14ac:dyDescent="0.15">
      <c r="A22" s="76" t="s">
        <v>111</v>
      </c>
      <c r="B22" s="70" t="s">
        <v>119</v>
      </c>
      <c r="C22" s="70">
        <f>VLOOKUP(B22,$A$10:$B$18,2,FALSE)</f>
        <v>0</v>
      </c>
      <c r="D22" s="70">
        <v>1</v>
      </c>
      <c r="E22" s="70">
        <f>B$3*VLOOKUP($D22,$A$5:$N$8,E$20,FALSE)*VLOOKUP($B22,$A$10:$O$18,E$20+1,FALSE)</f>
        <v>663</v>
      </c>
      <c r="F22" s="70">
        <f>C$3*VLOOKUP($D22,$A$5:$N$8,F$20,FALSE)*VLOOKUP($B22,$A$10:$O$18,F$20+1,FALSE)</f>
        <v>78</v>
      </c>
      <c r="G22" s="70">
        <f t="shared" ref="G22:Q22" si="1">D$3*VLOOKUP($D22,$A$5:$N$8,G$20,FALSE)*VLOOKUP($B22,$A$10:$O$18,G$20+1,FALSE)</f>
        <v>78</v>
      </c>
      <c r="H22" s="70">
        <f>E$3*VLOOKUP($D22,$A$5:$N$8,H$20,FALSE)*VLOOKUP($B22,$A$10:$O$18,H$20+1,FALSE)</f>
        <v>85.800000000000011</v>
      </c>
      <c r="I22" s="70">
        <f t="shared" si="1"/>
        <v>85.800000000000011</v>
      </c>
      <c r="J22" s="70">
        <f t="shared" si="1"/>
        <v>0</v>
      </c>
      <c r="K22" s="70">
        <f t="shared" si="1"/>
        <v>0</v>
      </c>
      <c r="L22" s="70">
        <f>I$3*VLOOKUP($D22,$A$5:$N$8,L$20,FALSE)*VLOOKUP($B22,$A$10:$O$18,L$20+1,FALSE)</f>
        <v>1.4300000000000002</v>
      </c>
      <c r="M22" s="70">
        <f t="shared" si="1"/>
        <v>0</v>
      </c>
      <c r="N22" s="70">
        <f t="shared" si="1"/>
        <v>2</v>
      </c>
      <c r="O22" s="70">
        <f t="shared" si="1"/>
        <v>0</v>
      </c>
      <c r="P22" s="70">
        <f t="shared" si="1"/>
        <v>0</v>
      </c>
      <c r="Q22" s="70">
        <f t="shared" si="1"/>
        <v>0</v>
      </c>
    </row>
    <row r="23" spans="1:17" x14ac:dyDescent="0.15">
      <c r="A23" s="76" t="s">
        <v>111</v>
      </c>
      <c r="B23" s="70" t="s">
        <v>119</v>
      </c>
      <c r="C23" s="70">
        <f t="shared" ref="C23:C57" si="2">VLOOKUP(B23,$A$10:$B$18,2,FALSE)</f>
        <v>0</v>
      </c>
      <c r="D23" s="70">
        <v>2</v>
      </c>
      <c r="E23" s="70">
        <f t="shared" ref="E23:E24" si="3">B$3*VLOOKUP($D23,$A$5:$N$8,E$20,FALSE)*VLOOKUP($B23,$A$10:$O$18,E$20+1,FALSE)</f>
        <v>765</v>
      </c>
      <c r="F23" s="70">
        <f t="shared" ref="F23:F24" si="4">C$3*VLOOKUP($D23,$A$5:$N$8,F$20,FALSE)*VLOOKUP($B23,$A$10:$O$18,F$20+1,FALSE)</f>
        <v>90</v>
      </c>
      <c r="G23" s="70">
        <f t="shared" ref="G23:G24" si="5">D$3*VLOOKUP($D23,$A$5:$N$8,G$20,FALSE)*VLOOKUP($B23,$A$10:$O$18,G$20+1,FALSE)</f>
        <v>90</v>
      </c>
      <c r="H23" s="70">
        <f t="shared" ref="H23:H24" si="6">E$3*VLOOKUP($D23,$A$5:$N$8,H$20,FALSE)*VLOOKUP($B23,$A$10:$O$18,H$20+1,FALSE)</f>
        <v>99.000000000000014</v>
      </c>
      <c r="I23" s="70">
        <f t="shared" ref="I23:I24" si="7">F$3*VLOOKUP($D23,$A$5:$N$8,I$20,FALSE)*VLOOKUP($B23,$A$10:$O$18,I$20+1,FALSE)</f>
        <v>99.000000000000014</v>
      </c>
      <c r="J23" s="70">
        <f t="shared" ref="J23:J24" si="8">G$3*VLOOKUP($D23,$A$5:$N$8,J$20,FALSE)*VLOOKUP($B23,$A$10:$O$18,J$20+1,FALSE)</f>
        <v>0</v>
      </c>
      <c r="K23" s="70">
        <f t="shared" ref="K23:K24" si="9">H$3*VLOOKUP($D23,$A$5:$N$8,K$20,FALSE)*VLOOKUP($B23,$A$10:$O$18,K$20+1,FALSE)</f>
        <v>0</v>
      </c>
      <c r="L23" s="70">
        <f>I$3*VLOOKUP($D23,$A$5:$N$8,L$20,FALSE)*VLOOKUP($B23,$A$10:$O$18,L$20+1,FALSE)</f>
        <v>1.6500000000000001</v>
      </c>
      <c r="M23" s="70">
        <f t="shared" ref="M23:M24" si="10">J$3*VLOOKUP($D23,$A$5:$N$8,M$20,FALSE)*VLOOKUP($B23,$A$10:$O$18,M$20+1,FALSE)</f>
        <v>0</v>
      </c>
      <c r="N23" s="70">
        <f t="shared" ref="N23:N24" si="11">K$3*VLOOKUP($D23,$A$5:$N$8,N$20,FALSE)*VLOOKUP($B23,$A$10:$O$18,N$20+1,FALSE)</f>
        <v>2</v>
      </c>
      <c r="O23" s="70">
        <f t="shared" ref="O23:O24" si="12">L$3*VLOOKUP($D23,$A$5:$N$8,O$20,FALSE)*VLOOKUP($B23,$A$10:$O$18,O$20+1,FALSE)</f>
        <v>0</v>
      </c>
      <c r="P23" s="70">
        <f t="shared" ref="P23:P24" si="13">M$3*VLOOKUP($D23,$A$5:$N$8,P$20,FALSE)*VLOOKUP($B23,$A$10:$O$18,P$20+1,FALSE)</f>
        <v>0</v>
      </c>
      <c r="Q23" s="70">
        <f t="shared" ref="Q23:Q24" si="14">N$3*VLOOKUP($D23,$A$5:$N$8,Q$20,FALSE)*VLOOKUP($B23,$A$10:$O$18,Q$20+1,FALSE)</f>
        <v>0</v>
      </c>
    </row>
    <row r="24" spans="1:17" x14ac:dyDescent="0.15">
      <c r="A24" s="76" t="s">
        <v>111</v>
      </c>
      <c r="B24" s="70" t="s">
        <v>119</v>
      </c>
      <c r="C24" s="70">
        <f t="shared" si="2"/>
        <v>0</v>
      </c>
      <c r="D24" s="70">
        <v>3</v>
      </c>
      <c r="E24" s="70">
        <f t="shared" si="3"/>
        <v>816</v>
      </c>
      <c r="F24" s="70">
        <f t="shared" si="4"/>
        <v>96</v>
      </c>
      <c r="G24" s="70">
        <f t="shared" si="5"/>
        <v>96</v>
      </c>
      <c r="H24" s="70">
        <f t="shared" si="6"/>
        <v>105.60000000000001</v>
      </c>
      <c r="I24" s="70">
        <f t="shared" si="7"/>
        <v>105.60000000000001</v>
      </c>
      <c r="J24" s="70">
        <f t="shared" si="8"/>
        <v>0</v>
      </c>
      <c r="K24" s="70">
        <f t="shared" si="9"/>
        <v>0</v>
      </c>
      <c r="L24" s="70">
        <f t="shared" ref="L24" si="15">I$3*VLOOKUP($D24,$A$5:$N$8,L$20,FALSE)*VLOOKUP($B24,$A$10:$O$18,L$20+1,FALSE)</f>
        <v>1.7600000000000002</v>
      </c>
      <c r="M24" s="70">
        <f t="shared" si="10"/>
        <v>0</v>
      </c>
      <c r="N24" s="70">
        <f t="shared" si="11"/>
        <v>2</v>
      </c>
      <c r="O24" s="70">
        <f t="shared" si="12"/>
        <v>0</v>
      </c>
      <c r="P24" s="70">
        <f t="shared" si="13"/>
        <v>0</v>
      </c>
      <c r="Q24" s="70">
        <f t="shared" si="14"/>
        <v>0</v>
      </c>
    </row>
    <row r="25" spans="1:17" x14ac:dyDescent="0.15">
      <c r="A25" s="76" t="s">
        <v>137</v>
      </c>
      <c r="B25" s="70" t="s">
        <v>140</v>
      </c>
      <c r="C25" s="70">
        <f t="shared" si="2"/>
        <v>0</v>
      </c>
      <c r="D25" s="70">
        <v>1</v>
      </c>
      <c r="E25" s="70">
        <f>B$3*VLOOKUP($D25,$A$5:$N$8,E$20,FALSE)*VLOOKUP($B25,$A$10:$O$18,E$20+1,FALSE)</f>
        <v>663</v>
      </c>
      <c r="F25" s="70">
        <f t="shared" ref="F25:F38" si="16">C$3*VLOOKUP($D25,$A$5:$N$8,F$20,FALSE)*VLOOKUP($B25,$A$10:$O$18,F$20+1,FALSE)</f>
        <v>78</v>
      </c>
      <c r="G25" s="70">
        <f t="shared" ref="G25:G38" si="17">D$3*VLOOKUP($D25,$A$5:$N$8,G$20,FALSE)*VLOOKUP($B25,$A$10:$O$18,G$20+1,FALSE)</f>
        <v>78</v>
      </c>
      <c r="H25" s="70">
        <f>E$3*VLOOKUP($D25,$A$5:$N$8,H$20,FALSE)*VLOOKUP($B25,$A$10:$O$18,H$20+1,FALSE)</f>
        <v>85.800000000000011</v>
      </c>
      <c r="I25" s="70">
        <f t="shared" ref="I25:I38" si="18">F$3*VLOOKUP($D25,$A$5:$N$8,I$20,FALSE)*VLOOKUP($B25,$A$10:$O$18,I$20+1,FALSE)</f>
        <v>85.800000000000011</v>
      </c>
      <c r="J25" s="70">
        <f t="shared" ref="J25:J38" si="19">G$3*VLOOKUP($D25,$A$5:$N$8,J$20,FALSE)*VLOOKUP($B25,$A$10:$O$18,J$20+1,FALSE)</f>
        <v>0</v>
      </c>
      <c r="K25" s="70">
        <f t="shared" ref="K25:K38" si="20">H$3*VLOOKUP($D25,$A$5:$N$8,K$20,FALSE)*VLOOKUP($B25,$A$10:$O$18,K$20+1,FALSE)</f>
        <v>0</v>
      </c>
      <c r="L25" s="70">
        <f t="shared" ref="L25:L38" si="21">I$3*VLOOKUP($D25,$A$5:$N$8,L$20,FALSE)*VLOOKUP($B25,$A$10:$O$18,L$20+1,FALSE)</f>
        <v>1.4300000000000002</v>
      </c>
      <c r="M25" s="70">
        <f t="shared" ref="M25:M38" si="22">J$3*VLOOKUP($D25,$A$5:$N$8,M$20,FALSE)*VLOOKUP($B25,$A$10:$O$18,M$20+1,FALSE)</f>
        <v>0</v>
      </c>
      <c r="N25" s="70">
        <f t="shared" ref="N25:N38" si="23">K$3*VLOOKUP($D25,$A$5:$N$8,N$20,FALSE)*VLOOKUP($B25,$A$10:$O$18,N$20+1,FALSE)</f>
        <v>2</v>
      </c>
      <c r="O25" s="70">
        <f t="shared" ref="O25:O38" si="24">L$3*VLOOKUP($D25,$A$5:$N$8,O$20,FALSE)*VLOOKUP($B25,$A$10:$O$18,O$20+1,FALSE)</f>
        <v>0</v>
      </c>
      <c r="P25" s="70">
        <f t="shared" ref="P25:P38" si="25">M$3*VLOOKUP($D25,$A$5:$N$8,P$20,FALSE)*VLOOKUP($B25,$A$10:$O$18,P$20+1,FALSE)</f>
        <v>0</v>
      </c>
      <c r="Q25" s="70">
        <f t="shared" ref="Q25:Q38" si="26">N$3*VLOOKUP($D25,$A$5:$N$8,Q$20,FALSE)*VLOOKUP($B25,$A$10:$O$18,Q$20+1,FALSE)</f>
        <v>0</v>
      </c>
    </row>
    <row r="26" spans="1:17" x14ac:dyDescent="0.15">
      <c r="A26" s="76" t="s">
        <v>112</v>
      </c>
      <c r="B26" s="70" t="s">
        <v>140</v>
      </c>
      <c r="C26" s="70">
        <f t="shared" si="2"/>
        <v>0</v>
      </c>
      <c r="D26" s="70">
        <v>2</v>
      </c>
      <c r="E26" s="70">
        <f t="shared" ref="E26:E38" si="27">B$3*VLOOKUP($D26,$A$5:$N$8,E$20,FALSE)*VLOOKUP($B26,$A$10:$O$18,E$20+1,FALSE)</f>
        <v>765</v>
      </c>
      <c r="F26" s="70">
        <f t="shared" si="16"/>
        <v>90</v>
      </c>
      <c r="G26" s="70">
        <f t="shared" si="17"/>
        <v>90</v>
      </c>
      <c r="H26" s="70">
        <f t="shared" ref="H26:H38" si="28">E$3*VLOOKUP($D26,$A$5:$N$8,H$20,FALSE)*VLOOKUP($B26,$A$10:$O$18,H$20+1,FALSE)</f>
        <v>99.000000000000014</v>
      </c>
      <c r="I26" s="70">
        <f t="shared" si="18"/>
        <v>99.000000000000014</v>
      </c>
      <c r="J26" s="70">
        <f t="shared" si="19"/>
        <v>0</v>
      </c>
      <c r="K26" s="70">
        <f t="shared" si="20"/>
        <v>0</v>
      </c>
      <c r="L26" s="70">
        <f t="shared" si="21"/>
        <v>1.6500000000000001</v>
      </c>
      <c r="M26" s="70">
        <f t="shared" si="22"/>
        <v>0</v>
      </c>
      <c r="N26" s="70">
        <f t="shared" si="23"/>
        <v>2</v>
      </c>
      <c r="O26" s="70">
        <f t="shared" si="24"/>
        <v>0</v>
      </c>
      <c r="P26" s="70">
        <f t="shared" si="25"/>
        <v>0</v>
      </c>
      <c r="Q26" s="70">
        <f t="shared" si="26"/>
        <v>0</v>
      </c>
    </row>
    <row r="27" spans="1:17" x14ac:dyDescent="0.15">
      <c r="A27" s="76" t="s">
        <v>138</v>
      </c>
      <c r="B27" s="70" t="s">
        <v>141</v>
      </c>
      <c r="C27" s="70">
        <f t="shared" si="2"/>
        <v>0</v>
      </c>
      <c r="D27" s="70">
        <v>3</v>
      </c>
      <c r="E27" s="70">
        <f t="shared" si="27"/>
        <v>816</v>
      </c>
      <c r="F27" s="70">
        <f t="shared" si="16"/>
        <v>96</v>
      </c>
      <c r="G27" s="70">
        <f t="shared" si="17"/>
        <v>96</v>
      </c>
      <c r="H27" s="70">
        <f t="shared" si="28"/>
        <v>105.60000000000001</v>
      </c>
      <c r="I27" s="70">
        <f t="shared" si="18"/>
        <v>105.60000000000001</v>
      </c>
      <c r="J27" s="70">
        <f t="shared" si="19"/>
        <v>0</v>
      </c>
      <c r="K27" s="70">
        <f t="shared" si="20"/>
        <v>0</v>
      </c>
      <c r="L27" s="70">
        <f t="shared" si="21"/>
        <v>1.7600000000000002</v>
      </c>
      <c r="M27" s="70">
        <f t="shared" si="22"/>
        <v>0</v>
      </c>
      <c r="N27" s="70">
        <f t="shared" si="23"/>
        <v>2</v>
      </c>
      <c r="O27" s="70">
        <f t="shared" si="24"/>
        <v>0</v>
      </c>
      <c r="P27" s="70">
        <f t="shared" si="25"/>
        <v>0</v>
      </c>
      <c r="Q27" s="70">
        <f t="shared" si="26"/>
        <v>0</v>
      </c>
    </row>
    <row r="28" spans="1:17" x14ac:dyDescent="0.15">
      <c r="A28" s="76" t="s">
        <v>139</v>
      </c>
      <c r="B28" s="70" t="s">
        <v>142</v>
      </c>
      <c r="C28" s="70">
        <f t="shared" si="2"/>
        <v>1</v>
      </c>
      <c r="D28" s="70">
        <v>1</v>
      </c>
      <c r="E28" s="70">
        <f t="shared" si="27"/>
        <v>390</v>
      </c>
      <c r="F28" s="70">
        <f t="shared" si="16"/>
        <v>39</v>
      </c>
      <c r="G28" s="70">
        <f t="shared" si="17"/>
        <v>39</v>
      </c>
      <c r="H28" s="70">
        <f t="shared" si="28"/>
        <v>132.6</v>
      </c>
      <c r="I28" s="70">
        <f t="shared" si="18"/>
        <v>132.6</v>
      </c>
      <c r="J28" s="70">
        <f t="shared" si="19"/>
        <v>0</v>
      </c>
      <c r="K28" s="70">
        <f t="shared" si="20"/>
        <v>0</v>
      </c>
      <c r="L28" s="70">
        <f t="shared" si="21"/>
        <v>1.4300000000000002</v>
      </c>
      <c r="M28" s="70">
        <f t="shared" si="22"/>
        <v>0</v>
      </c>
      <c r="N28" s="70">
        <f t="shared" si="23"/>
        <v>2</v>
      </c>
      <c r="O28" s="70">
        <f t="shared" si="24"/>
        <v>0</v>
      </c>
      <c r="P28" s="70">
        <f t="shared" si="25"/>
        <v>0</v>
      </c>
      <c r="Q28" s="70">
        <f t="shared" si="26"/>
        <v>0</v>
      </c>
    </row>
    <row r="29" spans="1:17" x14ac:dyDescent="0.15">
      <c r="A29" s="76" t="s">
        <v>139</v>
      </c>
      <c r="B29" s="70" t="s">
        <v>142</v>
      </c>
      <c r="C29" s="70">
        <f t="shared" si="2"/>
        <v>1</v>
      </c>
      <c r="D29" s="70">
        <v>2</v>
      </c>
      <c r="E29" s="70">
        <f t="shared" si="27"/>
        <v>450</v>
      </c>
      <c r="F29" s="70">
        <f t="shared" si="16"/>
        <v>45</v>
      </c>
      <c r="G29" s="70">
        <f t="shared" si="17"/>
        <v>45</v>
      </c>
      <c r="H29" s="70">
        <f t="shared" si="28"/>
        <v>153</v>
      </c>
      <c r="I29" s="70">
        <f t="shared" si="18"/>
        <v>153</v>
      </c>
      <c r="J29" s="70">
        <f t="shared" si="19"/>
        <v>0</v>
      </c>
      <c r="K29" s="70">
        <f t="shared" si="20"/>
        <v>0</v>
      </c>
      <c r="L29" s="70">
        <f t="shared" si="21"/>
        <v>1.6500000000000001</v>
      </c>
      <c r="M29" s="70">
        <f t="shared" si="22"/>
        <v>0</v>
      </c>
      <c r="N29" s="70">
        <f t="shared" si="23"/>
        <v>2</v>
      </c>
      <c r="O29" s="70">
        <f t="shared" si="24"/>
        <v>0</v>
      </c>
      <c r="P29" s="70">
        <f t="shared" si="25"/>
        <v>0</v>
      </c>
      <c r="Q29" s="70">
        <f t="shared" si="26"/>
        <v>0</v>
      </c>
    </row>
    <row r="30" spans="1:17" x14ac:dyDescent="0.15">
      <c r="A30" s="76" t="s">
        <v>139</v>
      </c>
      <c r="B30" s="70" t="s">
        <v>142</v>
      </c>
      <c r="C30" s="70">
        <f t="shared" si="2"/>
        <v>1</v>
      </c>
      <c r="D30" s="70">
        <v>3</v>
      </c>
      <c r="E30" s="70">
        <f t="shared" si="27"/>
        <v>480</v>
      </c>
      <c r="F30" s="70">
        <f t="shared" si="16"/>
        <v>48</v>
      </c>
      <c r="G30" s="70">
        <f t="shared" si="17"/>
        <v>48</v>
      </c>
      <c r="H30" s="70">
        <f t="shared" si="28"/>
        <v>163.19999999999999</v>
      </c>
      <c r="I30" s="70">
        <f>F$3*VLOOKUP($D30,$A$5:$N$8,I$20,FALSE)*VLOOKUP($B30,$A$10:$O$18,I$20+1,FALSE)</f>
        <v>163.19999999999999</v>
      </c>
      <c r="J30" s="70">
        <f t="shared" si="19"/>
        <v>0</v>
      </c>
      <c r="K30" s="70">
        <f t="shared" si="20"/>
        <v>0</v>
      </c>
      <c r="L30" s="70">
        <f t="shared" si="21"/>
        <v>1.7600000000000002</v>
      </c>
      <c r="M30" s="70">
        <f t="shared" si="22"/>
        <v>0</v>
      </c>
      <c r="N30" s="70">
        <f t="shared" si="23"/>
        <v>2</v>
      </c>
      <c r="O30" s="70">
        <f t="shared" si="24"/>
        <v>0</v>
      </c>
      <c r="P30" s="70">
        <f t="shared" si="25"/>
        <v>0</v>
      </c>
      <c r="Q30" s="70">
        <f t="shared" si="26"/>
        <v>0</v>
      </c>
    </row>
    <row r="31" spans="1:17" x14ac:dyDescent="0.15">
      <c r="A31" s="76" t="s">
        <v>143</v>
      </c>
      <c r="B31" s="70" t="s">
        <v>119</v>
      </c>
      <c r="C31" s="70">
        <f t="shared" si="2"/>
        <v>0</v>
      </c>
      <c r="D31" s="70">
        <v>1</v>
      </c>
      <c r="E31" s="70">
        <f t="shared" si="27"/>
        <v>663</v>
      </c>
      <c r="F31" s="70">
        <f t="shared" si="16"/>
        <v>78</v>
      </c>
      <c r="G31" s="70">
        <f t="shared" si="17"/>
        <v>78</v>
      </c>
      <c r="H31" s="70">
        <f t="shared" si="28"/>
        <v>85.800000000000011</v>
      </c>
      <c r="I31" s="70">
        <f t="shared" si="18"/>
        <v>85.800000000000011</v>
      </c>
      <c r="J31" s="70">
        <f t="shared" si="19"/>
        <v>0</v>
      </c>
      <c r="K31" s="70">
        <f t="shared" si="20"/>
        <v>0</v>
      </c>
      <c r="L31" s="70">
        <f t="shared" si="21"/>
        <v>1.4300000000000002</v>
      </c>
      <c r="M31" s="70">
        <f t="shared" si="22"/>
        <v>0</v>
      </c>
      <c r="N31" s="70">
        <f t="shared" si="23"/>
        <v>2</v>
      </c>
      <c r="O31" s="70">
        <f t="shared" si="24"/>
        <v>0</v>
      </c>
      <c r="P31" s="70">
        <f t="shared" si="25"/>
        <v>0</v>
      </c>
      <c r="Q31" s="70">
        <f t="shared" si="26"/>
        <v>0</v>
      </c>
    </row>
    <row r="32" spans="1:17" x14ac:dyDescent="0.15">
      <c r="A32" s="76" t="s">
        <v>143</v>
      </c>
      <c r="B32" s="70" t="s">
        <v>119</v>
      </c>
      <c r="C32" s="70">
        <f t="shared" si="2"/>
        <v>0</v>
      </c>
      <c r="D32" s="70">
        <v>2</v>
      </c>
      <c r="E32" s="70">
        <f t="shared" si="27"/>
        <v>765</v>
      </c>
      <c r="F32" s="70">
        <f t="shared" si="16"/>
        <v>90</v>
      </c>
      <c r="G32" s="70">
        <f t="shared" si="17"/>
        <v>90</v>
      </c>
      <c r="H32" s="70">
        <f t="shared" si="28"/>
        <v>99.000000000000014</v>
      </c>
      <c r="I32" s="70">
        <f t="shared" si="18"/>
        <v>99.000000000000014</v>
      </c>
      <c r="J32" s="70">
        <f t="shared" si="19"/>
        <v>0</v>
      </c>
      <c r="K32" s="70">
        <f t="shared" si="20"/>
        <v>0</v>
      </c>
      <c r="L32" s="70">
        <f t="shared" si="21"/>
        <v>1.6500000000000001</v>
      </c>
      <c r="M32" s="70">
        <f t="shared" si="22"/>
        <v>0</v>
      </c>
      <c r="N32" s="70">
        <f t="shared" si="23"/>
        <v>2</v>
      </c>
      <c r="O32" s="70">
        <f t="shared" si="24"/>
        <v>0</v>
      </c>
      <c r="P32" s="70">
        <f t="shared" si="25"/>
        <v>0</v>
      </c>
      <c r="Q32" s="70">
        <f t="shared" si="26"/>
        <v>0</v>
      </c>
    </row>
    <row r="33" spans="1:17" x14ac:dyDescent="0.15">
      <c r="A33" s="76" t="s">
        <v>143</v>
      </c>
      <c r="B33" s="70" t="s">
        <v>119</v>
      </c>
      <c r="C33" s="70">
        <f t="shared" si="2"/>
        <v>0</v>
      </c>
      <c r="D33" s="70">
        <v>3</v>
      </c>
      <c r="E33" s="70">
        <f t="shared" si="27"/>
        <v>816</v>
      </c>
      <c r="F33" s="70">
        <f t="shared" si="16"/>
        <v>96</v>
      </c>
      <c r="G33" s="70">
        <f t="shared" si="17"/>
        <v>96</v>
      </c>
      <c r="H33" s="70">
        <f t="shared" si="28"/>
        <v>105.60000000000001</v>
      </c>
      <c r="I33" s="70">
        <f t="shared" si="18"/>
        <v>105.60000000000001</v>
      </c>
      <c r="J33" s="70">
        <f t="shared" si="19"/>
        <v>0</v>
      </c>
      <c r="K33" s="70">
        <f t="shared" si="20"/>
        <v>0</v>
      </c>
      <c r="L33" s="70">
        <f t="shared" si="21"/>
        <v>1.7600000000000002</v>
      </c>
      <c r="M33" s="70">
        <f t="shared" si="22"/>
        <v>0</v>
      </c>
      <c r="N33" s="70">
        <f t="shared" si="23"/>
        <v>2</v>
      </c>
      <c r="O33" s="70">
        <f t="shared" si="24"/>
        <v>0</v>
      </c>
      <c r="P33" s="70">
        <f t="shared" si="25"/>
        <v>0</v>
      </c>
      <c r="Q33" s="70">
        <f t="shared" si="26"/>
        <v>0</v>
      </c>
    </row>
    <row r="34" spans="1:17" x14ac:dyDescent="0.15">
      <c r="A34" s="76" t="s">
        <v>144</v>
      </c>
      <c r="B34" s="70" t="s">
        <v>149</v>
      </c>
      <c r="C34" s="70">
        <f t="shared" si="2"/>
        <v>0</v>
      </c>
      <c r="D34" s="70">
        <v>1</v>
      </c>
      <c r="E34" s="70">
        <f t="shared" si="27"/>
        <v>624</v>
      </c>
      <c r="F34" s="70">
        <f t="shared" si="16"/>
        <v>52</v>
      </c>
      <c r="G34" s="70">
        <f t="shared" si="17"/>
        <v>52</v>
      </c>
      <c r="H34" s="70">
        <f>E$3*VLOOKUP($D34,$A$5:$N$8,H$20,FALSE)*VLOOKUP($B34,$A$10:$O$18,H$20+1,FALSE)</f>
        <v>93.6</v>
      </c>
      <c r="I34" s="70">
        <f t="shared" si="18"/>
        <v>93.6</v>
      </c>
      <c r="J34" s="70">
        <f t="shared" si="19"/>
        <v>0</v>
      </c>
      <c r="K34" s="70">
        <f t="shared" si="20"/>
        <v>0</v>
      </c>
      <c r="L34" s="70">
        <f t="shared" si="21"/>
        <v>1.3</v>
      </c>
      <c r="M34" s="70">
        <f t="shared" si="22"/>
        <v>0</v>
      </c>
      <c r="N34" s="70">
        <f t="shared" si="23"/>
        <v>2</v>
      </c>
      <c r="O34" s="70">
        <f t="shared" si="24"/>
        <v>0</v>
      </c>
      <c r="P34" s="70">
        <f t="shared" si="25"/>
        <v>0.1</v>
      </c>
      <c r="Q34" s="70">
        <f t="shared" si="26"/>
        <v>0</v>
      </c>
    </row>
    <row r="35" spans="1:17" x14ac:dyDescent="0.15">
      <c r="A35" s="76" t="s">
        <v>144</v>
      </c>
      <c r="B35" s="70" t="s">
        <v>149</v>
      </c>
      <c r="C35" s="70">
        <f t="shared" si="2"/>
        <v>0</v>
      </c>
      <c r="D35" s="70">
        <v>2</v>
      </c>
      <c r="E35" s="70">
        <f t="shared" si="27"/>
        <v>720</v>
      </c>
      <c r="F35" s="70">
        <f t="shared" si="16"/>
        <v>60</v>
      </c>
      <c r="G35" s="70">
        <f t="shared" si="17"/>
        <v>60</v>
      </c>
      <c r="H35" s="70">
        <f t="shared" si="28"/>
        <v>108</v>
      </c>
      <c r="I35" s="70">
        <f t="shared" si="18"/>
        <v>108</v>
      </c>
      <c r="J35" s="70">
        <f t="shared" si="19"/>
        <v>0</v>
      </c>
      <c r="K35" s="70">
        <f t="shared" si="20"/>
        <v>0</v>
      </c>
      <c r="L35" s="70">
        <f t="shared" si="21"/>
        <v>1.5</v>
      </c>
      <c r="M35" s="70">
        <f t="shared" si="22"/>
        <v>0</v>
      </c>
      <c r="N35" s="70">
        <f t="shared" si="23"/>
        <v>2</v>
      </c>
      <c r="O35" s="70">
        <f t="shared" si="24"/>
        <v>0</v>
      </c>
      <c r="P35" s="70">
        <f t="shared" si="25"/>
        <v>0.1</v>
      </c>
      <c r="Q35" s="70">
        <f t="shared" si="26"/>
        <v>0</v>
      </c>
    </row>
    <row r="36" spans="1:17" x14ac:dyDescent="0.15">
      <c r="A36" s="76" t="s">
        <v>144</v>
      </c>
      <c r="B36" s="70" t="s">
        <v>149</v>
      </c>
      <c r="C36" s="70">
        <f t="shared" si="2"/>
        <v>0</v>
      </c>
      <c r="D36" s="70">
        <v>3</v>
      </c>
      <c r="E36" s="70">
        <f t="shared" si="27"/>
        <v>768</v>
      </c>
      <c r="F36" s="70">
        <f t="shared" si="16"/>
        <v>64</v>
      </c>
      <c r="G36" s="70">
        <f t="shared" si="17"/>
        <v>64</v>
      </c>
      <c r="H36" s="70">
        <f>E$3*VLOOKUP($D36,$A$5:$N$8,H$20,FALSE)*VLOOKUP($B36,$A$10:$O$18,H$20+1,FALSE)</f>
        <v>115.19999999999999</v>
      </c>
      <c r="I36" s="70">
        <f t="shared" si="18"/>
        <v>115.19999999999999</v>
      </c>
      <c r="J36" s="70">
        <f t="shared" si="19"/>
        <v>0</v>
      </c>
      <c r="K36" s="70">
        <f t="shared" si="20"/>
        <v>0</v>
      </c>
      <c r="L36" s="70">
        <f t="shared" si="21"/>
        <v>1.6</v>
      </c>
      <c r="M36" s="70">
        <f t="shared" si="22"/>
        <v>0</v>
      </c>
      <c r="N36" s="70">
        <f t="shared" si="23"/>
        <v>2</v>
      </c>
      <c r="O36" s="70">
        <f t="shared" si="24"/>
        <v>0</v>
      </c>
      <c r="P36" s="70">
        <f t="shared" si="25"/>
        <v>0.1</v>
      </c>
      <c r="Q36" s="70">
        <f t="shared" si="26"/>
        <v>0</v>
      </c>
    </row>
    <row r="37" spans="1:17" x14ac:dyDescent="0.15">
      <c r="A37" s="76" t="s">
        <v>116</v>
      </c>
      <c r="B37" s="70" t="s">
        <v>150</v>
      </c>
      <c r="C37" s="70">
        <f t="shared" si="2"/>
        <v>0</v>
      </c>
      <c r="D37" s="70">
        <v>1</v>
      </c>
      <c r="E37" s="70">
        <f t="shared" si="27"/>
        <v>390</v>
      </c>
      <c r="F37" s="70">
        <f t="shared" si="16"/>
        <v>39</v>
      </c>
      <c r="G37" s="70">
        <f t="shared" si="17"/>
        <v>39</v>
      </c>
      <c r="H37" s="70">
        <f t="shared" si="28"/>
        <v>132.6</v>
      </c>
      <c r="I37" s="70">
        <f t="shared" si="18"/>
        <v>132.6</v>
      </c>
      <c r="J37" s="70">
        <f t="shared" si="19"/>
        <v>0</v>
      </c>
      <c r="K37" s="70">
        <f t="shared" si="20"/>
        <v>0</v>
      </c>
      <c r="L37" s="70">
        <f t="shared" si="21"/>
        <v>1.4300000000000002</v>
      </c>
      <c r="M37" s="70">
        <f t="shared" si="22"/>
        <v>0</v>
      </c>
      <c r="N37" s="70">
        <f t="shared" si="23"/>
        <v>2</v>
      </c>
      <c r="O37" s="70">
        <f t="shared" si="24"/>
        <v>0</v>
      </c>
      <c r="P37" s="70">
        <f t="shared" si="25"/>
        <v>0</v>
      </c>
      <c r="Q37" s="70">
        <f t="shared" si="26"/>
        <v>0</v>
      </c>
    </row>
    <row r="38" spans="1:17" x14ac:dyDescent="0.15">
      <c r="A38" s="76" t="s">
        <v>116</v>
      </c>
      <c r="B38" s="70" t="s">
        <v>150</v>
      </c>
      <c r="C38" s="70">
        <f t="shared" si="2"/>
        <v>0</v>
      </c>
      <c r="D38" s="70">
        <v>2</v>
      </c>
      <c r="E38" s="70">
        <f t="shared" si="27"/>
        <v>450</v>
      </c>
      <c r="F38" s="70">
        <f t="shared" si="16"/>
        <v>45</v>
      </c>
      <c r="G38" s="70">
        <f t="shared" si="17"/>
        <v>45</v>
      </c>
      <c r="H38" s="70">
        <f t="shared" si="28"/>
        <v>153</v>
      </c>
      <c r="I38" s="70">
        <f t="shared" si="18"/>
        <v>153</v>
      </c>
      <c r="J38" s="70">
        <f t="shared" si="19"/>
        <v>0</v>
      </c>
      <c r="K38" s="70">
        <f t="shared" si="20"/>
        <v>0</v>
      </c>
      <c r="L38" s="70">
        <f t="shared" si="21"/>
        <v>1.6500000000000001</v>
      </c>
      <c r="M38" s="70">
        <f t="shared" si="22"/>
        <v>0</v>
      </c>
      <c r="N38" s="70">
        <f t="shared" si="23"/>
        <v>2</v>
      </c>
      <c r="O38" s="70">
        <f t="shared" si="24"/>
        <v>0</v>
      </c>
      <c r="P38" s="70">
        <f t="shared" si="25"/>
        <v>0</v>
      </c>
      <c r="Q38" s="70">
        <f t="shared" si="26"/>
        <v>0</v>
      </c>
    </row>
    <row r="39" spans="1:17" x14ac:dyDescent="0.15">
      <c r="A39" s="76" t="s">
        <v>116</v>
      </c>
      <c r="B39" s="70" t="s">
        <v>150</v>
      </c>
      <c r="C39" s="70">
        <f t="shared" si="2"/>
        <v>0</v>
      </c>
      <c r="D39" s="70">
        <v>3</v>
      </c>
      <c r="E39" s="70">
        <f t="shared" ref="E39:E57" si="29">B$3*VLOOKUP($D39,$A$5:$N$8,E$20,FALSE)*VLOOKUP($B39,$A$10:$O$18,E$20+1,FALSE)</f>
        <v>480</v>
      </c>
      <c r="F39" s="70">
        <f t="shared" ref="F39:F57" si="30">C$3*VLOOKUP($D39,$A$5:$N$8,F$20,FALSE)*VLOOKUP($B39,$A$10:$O$18,F$20+1,FALSE)</f>
        <v>48</v>
      </c>
      <c r="G39" s="70">
        <f t="shared" ref="G39:G57" si="31">D$3*VLOOKUP($D39,$A$5:$N$8,G$20,FALSE)*VLOOKUP($B39,$A$10:$O$18,G$20+1,FALSE)</f>
        <v>48</v>
      </c>
      <c r="H39" s="70">
        <f>E$3*VLOOKUP($D39,$A$5:$N$8,H$20,FALSE)*VLOOKUP($B39,$A$10:$O$18,H$20+1,FALSE)</f>
        <v>163.19999999999999</v>
      </c>
      <c r="I39" s="70">
        <f t="shared" ref="I39:I57" si="32">F$3*VLOOKUP($D39,$A$5:$N$8,I$20,FALSE)*VLOOKUP($B39,$A$10:$O$18,I$20+1,FALSE)</f>
        <v>163.19999999999999</v>
      </c>
      <c r="J39" s="70">
        <f t="shared" ref="J39:J57" si="33">G$3*VLOOKUP($D39,$A$5:$N$8,J$20,FALSE)*VLOOKUP($B39,$A$10:$O$18,J$20+1,FALSE)</f>
        <v>0</v>
      </c>
      <c r="K39" s="70">
        <f t="shared" ref="K39:K57" si="34">H$3*VLOOKUP($D39,$A$5:$N$8,K$20,FALSE)*VLOOKUP($B39,$A$10:$O$18,K$20+1,FALSE)</f>
        <v>0</v>
      </c>
      <c r="L39" s="70">
        <f t="shared" ref="L39:L57" si="35">I$3*VLOOKUP($D39,$A$5:$N$8,L$20,FALSE)*VLOOKUP($B39,$A$10:$O$18,L$20+1,FALSE)</f>
        <v>1.7600000000000002</v>
      </c>
      <c r="M39" s="70">
        <f t="shared" ref="M39:M57" si="36">J$3*VLOOKUP($D39,$A$5:$N$8,M$20,FALSE)*VLOOKUP($B39,$A$10:$O$18,M$20+1,FALSE)</f>
        <v>0</v>
      </c>
      <c r="N39" s="70">
        <f t="shared" ref="N39:N57" si="37">K$3*VLOOKUP($D39,$A$5:$N$8,N$20,FALSE)*VLOOKUP($B39,$A$10:$O$18,N$20+1,FALSE)</f>
        <v>2</v>
      </c>
      <c r="O39" s="70">
        <f t="shared" ref="O39:O57" si="38">L$3*VLOOKUP($D39,$A$5:$N$8,O$20,FALSE)*VLOOKUP($B39,$A$10:$O$18,O$20+1,FALSE)</f>
        <v>0</v>
      </c>
      <c r="P39" s="70">
        <f t="shared" ref="P39:P57" si="39">M$3*VLOOKUP($D39,$A$5:$N$8,P$20,FALSE)*VLOOKUP($B39,$A$10:$O$18,P$20+1,FALSE)</f>
        <v>0</v>
      </c>
      <c r="Q39" s="70">
        <f t="shared" ref="Q39:Q57" si="40">N$3*VLOOKUP($D39,$A$5:$N$8,Q$20,FALSE)*VLOOKUP($B39,$A$10:$O$18,Q$20+1,FALSE)</f>
        <v>0</v>
      </c>
    </row>
    <row r="40" spans="1:17" x14ac:dyDescent="0.15">
      <c r="A40" s="76" t="s">
        <v>117</v>
      </c>
      <c r="B40" s="70" t="s">
        <v>151</v>
      </c>
      <c r="C40" s="70">
        <f t="shared" si="2"/>
        <v>1</v>
      </c>
      <c r="D40" s="70">
        <v>1</v>
      </c>
      <c r="E40" s="70">
        <f t="shared" si="29"/>
        <v>390</v>
      </c>
      <c r="F40" s="70">
        <f t="shared" si="30"/>
        <v>39</v>
      </c>
      <c r="G40" s="70">
        <f t="shared" si="31"/>
        <v>39</v>
      </c>
      <c r="H40" s="70">
        <f t="shared" ref="H40:H57" si="41">E$3*VLOOKUP($D40,$A$5:$N$8,H$20,FALSE)*VLOOKUP($B40,$A$10:$O$18,H$20+1,FALSE)</f>
        <v>132.6</v>
      </c>
      <c r="I40" s="70">
        <f t="shared" si="32"/>
        <v>132.6</v>
      </c>
      <c r="J40" s="70">
        <f t="shared" si="33"/>
        <v>0</v>
      </c>
      <c r="K40" s="70">
        <f t="shared" si="34"/>
        <v>0</v>
      </c>
      <c r="L40" s="70">
        <f t="shared" si="35"/>
        <v>1.4300000000000002</v>
      </c>
      <c r="M40" s="70">
        <f t="shared" si="36"/>
        <v>0</v>
      </c>
      <c r="N40" s="70">
        <f t="shared" si="37"/>
        <v>2</v>
      </c>
      <c r="O40" s="70">
        <f t="shared" si="38"/>
        <v>0</v>
      </c>
      <c r="P40" s="70">
        <f t="shared" si="39"/>
        <v>0</v>
      </c>
      <c r="Q40" s="70">
        <f t="shared" si="40"/>
        <v>0</v>
      </c>
    </row>
    <row r="41" spans="1:17" x14ac:dyDescent="0.15">
      <c r="A41" s="76" t="s">
        <v>117</v>
      </c>
      <c r="B41" s="70" t="s">
        <v>151</v>
      </c>
      <c r="C41" s="70">
        <f t="shared" si="2"/>
        <v>1</v>
      </c>
      <c r="D41" s="70">
        <v>2</v>
      </c>
      <c r="E41" s="70">
        <f t="shared" si="29"/>
        <v>450</v>
      </c>
      <c r="F41" s="70">
        <f t="shared" si="30"/>
        <v>45</v>
      </c>
      <c r="G41" s="70">
        <f t="shared" si="31"/>
        <v>45</v>
      </c>
      <c r="H41" s="70">
        <f t="shared" si="41"/>
        <v>153</v>
      </c>
      <c r="I41" s="70">
        <f t="shared" si="32"/>
        <v>153</v>
      </c>
      <c r="J41" s="70">
        <f t="shared" si="33"/>
        <v>0</v>
      </c>
      <c r="K41" s="70">
        <f t="shared" si="34"/>
        <v>0</v>
      </c>
      <c r="L41" s="70">
        <f t="shared" si="35"/>
        <v>1.6500000000000001</v>
      </c>
      <c r="M41" s="70">
        <f t="shared" si="36"/>
        <v>0</v>
      </c>
      <c r="N41" s="70">
        <f t="shared" si="37"/>
        <v>2</v>
      </c>
      <c r="O41" s="70">
        <f t="shared" si="38"/>
        <v>0</v>
      </c>
      <c r="P41" s="70">
        <f t="shared" si="39"/>
        <v>0</v>
      </c>
      <c r="Q41" s="70">
        <f t="shared" si="40"/>
        <v>0</v>
      </c>
    </row>
    <row r="42" spans="1:17" x14ac:dyDescent="0.15">
      <c r="A42" s="76" t="s">
        <v>117</v>
      </c>
      <c r="B42" s="70" t="s">
        <v>151</v>
      </c>
      <c r="C42" s="70">
        <f t="shared" si="2"/>
        <v>1</v>
      </c>
      <c r="D42" s="70">
        <v>3</v>
      </c>
      <c r="E42" s="70">
        <f t="shared" si="29"/>
        <v>480</v>
      </c>
      <c r="F42" s="70">
        <f t="shared" si="30"/>
        <v>48</v>
      </c>
      <c r="G42" s="70">
        <f t="shared" si="31"/>
        <v>48</v>
      </c>
      <c r="H42" s="70">
        <f t="shared" si="41"/>
        <v>163.19999999999999</v>
      </c>
      <c r="I42" s="70">
        <f t="shared" si="32"/>
        <v>163.19999999999999</v>
      </c>
      <c r="J42" s="70">
        <f t="shared" si="33"/>
        <v>0</v>
      </c>
      <c r="K42" s="70">
        <f t="shared" si="34"/>
        <v>0</v>
      </c>
      <c r="L42" s="70">
        <f t="shared" si="35"/>
        <v>1.7600000000000002</v>
      </c>
      <c r="M42" s="70">
        <f t="shared" si="36"/>
        <v>0</v>
      </c>
      <c r="N42" s="70">
        <f t="shared" si="37"/>
        <v>2</v>
      </c>
      <c r="O42" s="70">
        <f t="shared" si="38"/>
        <v>0</v>
      </c>
      <c r="P42" s="70">
        <f t="shared" si="39"/>
        <v>0</v>
      </c>
      <c r="Q42" s="70">
        <f t="shared" si="40"/>
        <v>0</v>
      </c>
    </row>
    <row r="43" spans="1:17" x14ac:dyDescent="0.15">
      <c r="A43" s="76" t="s">
        <v>145</v>
      </c>
      <c r="B43" s="70" t="s">
        <v>122</v>
      </c>
      <c r="C43" s="70">
        <f t="shared" si="2"/>
        <v>0</v>
      </c>
      <c r="D43" s="70">
        <v>1</v>
      </c>
      <c r="E43" s="70">
        <f t="shared" si="29"/>
        <v>975</v>
      </c>
      <c r="F43" s="70">
        <f t="shared" si="30"/>
        <v>97.5</v>
      </c>
      <c r="G43" s="70">
        <f t="shared" si="31"/>
        <v>32.5</v>
      </c>
      <c r="H43" s="70">
        <f t="shared" si="41"/>
        <v>62.400000000000006</v>
      </c>
      <c r="I43" s="70">
        <f t="shared" si="32"/>
        <v>62.400000000000006</v>
      </c>
      <c r="J43" s="70">
        <f t="shared" si="33"/>
        <v>0</v>
      </c>
      <c r="K43" s="70">
        <f t="shared" si="34"/>
        <v>0</v>
      </c>
      <c r="L43" s="70">
        <f t="shared" si="35"/>
        <v>0.90999999999999992</v>
      </c>
      <c r="M43" s="70">
        <f t="shared" si="36"/>
        <v>0</v>
      </c>
      <c r="N43" s="70">
        <f t="shared" si="37"/>
        <v>2</v>
      </c>
      <c r="O43" s="70">
        <f t="shared" si="38"/>
        <v>0</v>
      </c>
      <c r="P43" s="70">
        <f t="shared" si="39"/>
        <v>0</v>
      </c>
      <c r="Q43" s="70">
        <f t="shared" si="40"/>
        <v>0</v>
      </c>
    </row>
    <row r="44" spans="1:17" x14ac:dyDescent="0.15">
      <c r="A44" s="76" t="s">
        <v>145</v>
      </c>
      <c r="B44" s="70" t="s">
        <v>122</v>
      </c>
      <c r="C44" s="70">
        <f t="shared" si="2"/>
        <v>0</v>
      </c>
      <c r="D44" s="70">
        <v>2</v>
      </c>
      <c r="E44" s="70">
        <f t="shared" si="29"/>
        <v>1125</v>
      </c>
      <c r="F44" s="70">
        <f>C$3*VLOOKUP($D44,$A$5:$N$8,F$20,FALSE)*VLOOKUP($B44,$A$10:$O$18,F$20+1,FALSE)</f>
        <v>112.5</v>
      </c>
      <c r="G44" s="70">
        <f t="shared" si="31"/>
        <v>37.5</v>
      </c>
      <c r="H44" s="70">
        <f t="shared" si="41"/>
        <v>72</v>
      </c>
      <c r="I44" s="70">
        <f t="shared" si="32"/>
        <v>72</v>
      </c>
      <c r="J44" s="70">
        <f t="shared" si="33"/>
        <v>0</v>
      </c>
      <c r="K44" s="70">
        <f t="shared" si="34"/>
        <v>0</v>
      </c>
      <c r="L44" s="70">
        <f t="shared" si="35"/>
        <v>1.0499999999999998</v>
      </c>
      <c r="M44" s="70">
        <f t="shared" si="36"/>
        <v>0</v>
      </c>
      <c r="N44" s="70">
        <f t="shared" si="37"/>
        <v>2</v>
      </c>
      <c r="O44" s="70">
        <f t="shared" si="38"/>
        <v>0</v>
      </c>
      <c r="P44" s="70">
        <f t="shared" si="39"/>
        <v>0</v>
      </c>
      <c r="Q44" s="70">
        <f t="shared" si="40"/>
        <v>0</v>
      </c>
    </row>
    <row r="45" spans="1:17" x14ac:dyDescent="0.15">
      <c r="A45" s="76" t="s">
        <v>145</v>
      </c>
      <c r="B45" s="70" t="s">
        <v>122</v>
      </c>
      <c r="C45" s="70">
        <f t="shared" si="2"/>
        <v>0</v>
      </c>
      <c r="D45" s="70">
        <v>3</v>
      </c>
      <c r="E45" s="70">
        <f t="shared" si="29"/>
        <v>1200</v>
      </c>
      <c r="F45" s="70">
        <f t="shared" si="30"/>
        <v>120</v>
      </c>
      <c r="G45" s="70">
        <f t="shared" si="31"/>
        <v>40</v>
      </c>
      <c r="H45" s="70">
        <f t="shared" si="41"/>
        <v>76.800000000000011</v>
      </c>
      <c r="I45" s="70">
        <f t="shared" si="32"/>
        <v>76.800000000000011</v>
      </c>
      <c r="J45" s="70">
        <f t="shared" si="33"/>
        <v>0</v>
      </c>
      <c r="K45" s="70">
        <f t="shared" si="34"/>
        <v>0</v>
      </c>
      <c r="L45" s="70">
        <f t="shared" si="35"/>
        <v>1.1199999999999999</v>
      </c>
      <c r="M45" s="70">
        <f t="shared" si="36"/>
        <v>0</v>
      </c>
      <c r="N45" s="70">
        <f t="shared" si="37"/>
        <v>2</v>
      </c>
      <c r="O45" s="70">
        <f t="shared" si="38"/>
        <v>0</v>
      </c>
      <c r="P45" s="70">
        <f t="shared" si="39"/>
        <v>0</v>
      </c>
      <c r="Q45" s="70">
        <f t="shared" si="40"/>
        <v>0</v>
      </c>
    </row>
    <row r="46" spans="1:17" x14ac:dyDescent="0.15">
      <c r="A46" s="76" t="s">
        <v>146</v>
      </c>
      <c r="B46" s="70" t="s">
        <v>152</v>
      </c>
      <c r="C46" s="70">
        <f t="shared" si="2"/>
        <v>1</v>
      </c>
      <c r="D46" s="70">
        <v>1</v>
      </c>
      <c r="E46" s="70">
        <f t="shared" si="29"/>
        <v>975</v>
      </c>
      <c r="F46" s="70">
        <f t="shared" si="30"/>
        <v>32.5</v>
      </c>
      <c r="G46" s="70">
        <f t="shared" si="31"/>
        <v>97.5</v>
      </c>
      <c r="H46" s="70">
        <f t="shared" si="41"/>
        <v>62.400000000000006</v>
      </c>
      <c r="I46" s="70">
        <f t="shared" si="32"/>
        <v>62.400000000000006</v>
      </c>
      <c r="J46" s="70">
        <f t="shared" si="33"/>
        <v>0</v>
      </c>
      <c r="K46" s="70">
        <f t="shared" si="34"/>
        <v>0</v>
      </c>
      <c r="L46" s="70">
        <f t="shared" si="35"/>
        <v>0.90999999999999992</v>
      </c>
      <c r="M46" s="70">
        <f t="shared" si="36"/>
        <v>0</v>
      </c>
      <c r="N46" s="70">
        <f t="shared" si="37"/>
        <v>2</v>
      </c>
      <c r="O46" s="70">
        <f t="shared" si="38"/>
        <v>0</v>
      </c>
      <c r="P46" s="70">
        <f t="shared" si="39"/>
        <v>0</v>
      </c>
      <c r="Q46" s="70">
        <f t="shared" si="40"/>
        <v>0</v>
      </c>
    </row>
    <row r="47" spans="1:17" x14ac:dyDescent="0.15">
      <c r="A47" s="76" t="s">
        <v>146</v>
      </c>
      <c r="B47" s="70" t="s">
        <v>152</v>
      </c>
      <c r="C47" s="70">
        <f t="shared" si="2"/>
        <v>1</v>
      </c>
      <c r="D47" s="70">
        <v>2</v>
      </c>
      <c r="E47" s="70">
        <f t="shared" si="29"/>
        <v>1125</v>
      </c>
      <c r="F47" s="70">
        <f t="shared" si="30"/>
        <v>37.5</v>
      </c>
      <c r="G47" s="70">
        <f t="shared" si="31"/>
        <v>112.5</v>
      </c>
      <c r="H47" s="70">
        <f t="shared" si="41"/>
        <v>72</v>
      </c>
      <c r="I47" s="70">
        <f t="shared" si="32"/>
        <v>72</v>
      </c>
      <c r="J47" s="70">
        <f t="shared" si="33"/>
        <v>0</v>
      </c>
      <c r="K47" s="70">
        <f t="shared" si="34"/>
        <v>0</v>
      </c>
      <c r="L47" s="70">
        <f t="shared" si="35"/>
        <v>1.0499999999999998</v>
      </c>
      <c r="M47" s="70">
        <f t="shared" si="36"/>
        <v>0</v>
      </c>
      <c r="N47" s="70">
        <f t="shared" si="37"/>
        <v>2</v>
      </c>
      <c r="O47" s="70">
        <f t="shared" si="38"/>
        <v>0</v>
      </c>
      <c r="P47" s="70">
        <f t="shared" si="39"/>
        <v>0</v>
      </c>
      <c r="Q47" s="70">
        <f t="shared" si="40"/>
        <v>0</v>
      </c>
    </row>
    <row r="48" spans="1:17" x14ac:dyDescent="0.15">
      <c r="A48" s="76" t="s">
        <v>146</v>
      </c>
      <c r="B48" s="70" t="s">
        <v>152</v>
      </c>
      <c r="C48" s="70">
        <f t="shared" si="2"/>
        <v>1</v>
      </c>
      <c r="D48" s="70">
        <v>3</v>
      </c>
      <c r="E48" s="70">
        <f t="shared" si="29"/>
        <v>1200</v>
      </c>
      <c r="F48" s="70">
        <f>C$3*VLOOKUP($D48,$A$5:$N$8,F$20,FALSE)*VLOOKUP($B48,$A$10:$O$18,F$20+1,FALSE)</f>
        <v>40</v>
      </c>
      <c r="G48" s="70">
        <f t="shared" si="31"/>
        <v>120</v>
      </c>
      <c r="H48" s="70">
        <f t="shared" si="41"/>
        <v>76.800000000000011</v>
      </c>
      <c r="I48" s="70">
        <f t="shared" si="32"/>
        <v>76.800000000000011</v>
      </c>
      <c r="J48" s="70">
        <f t="shared" si="33"/>
        <v>0</v>
      </c>
      <c r="K48" s="70">
        <f t="shared" si="34"/>
        <v>0</v>
      </c>
      <c r="L48" s="70">
        <f t="shared" si="35"/>
        <v>1.1199999999999999</v>
      </c>
      <c r="M48" s="70">
        <f t="shared" si="36"/>
        <v>0</v>
      </c>
      <c r="N48" s="70">
        <f t="shared" si="37"/>
        <v>2</v>
      </c>
      <c r="O48" s="70">
        <f t="shared" si="38"/>
        <v>0</v>
      </c>
      <c r="P48" s="70">
        <f t="shared" si="39"/>
        <v>0</v>
      </c>
      <c r="Q48" s="70">
        <f t="shared" si="40"/>
        <v>0</v>
      </c>
    </row>
    <row r="49" spans="1:17" x14ac:dyDescent="0.15">
      <c r="A49" s="76" t="s">
        <v>147</v>
      </c>
      <c r="B49" s="70" t="s">
        <v>153</v>
      </c>
      <c r="C49" s="70">
        <f t="shared" si="2"/>
        <v>0</v>
      </c>
      <c r="D49" s="70">
        <v>1</v>
      </c>
      <c r="E49" s="70">
        <f>B$3*VLOOKUP($D49,$A$5:$N$8,E$20,FALSE)*VLOOKUP($B49,$A$10:$O$18,E$20+1,FALSE)</f>
        <v>390</v>
      </c>
      <c r="F49" s="70">
        <f t="shared" si="30"/>
        <v>52</v>
      </c>
      <c r="G49" s="70">
        <f t="shared" si="31"/>
        <v>52</v>
      </c>
      <c r="H49" s="70">
        <f t="shared" si="41"/>
        <v>117</v>
      </c>
      <c r="I49" s="70">
        <f t="shared" si="32"/>
        <v>117</v>
      </c>
      <c r="J49" s="70">
        <f t="shared" si="33"/>
        <v>0</v>
      </c>
      <c r="K49" s="70">
        <f t="shared" si="34"/>
        <v>0</v>
      </c>
      <c r="L49" s="70">
        <f t="shared" si="35"/>
        <v>1.3</v>
      </c>
      <c r="M49" s="70">
        <f t="shared" si="36"/>
        <v>0.13</v>
      </c>
      <c r="N49" s="70">
        <f t="shared" si="37"/>
        <v>2</v>
      </c>
      <c r="O49" s="70">
        <f t="shared" si="38"/>
        <v>0</v>
      </c>
      <c r="P49" s="70">
        <f t="shared" si="39"/>
        <v>0</v>
      </c>
      <c r="Q49" s="70">
        <f t="shared" si="40"/>
        <v>0</v>
      </c>
    </row>
    <row r="50" spans="1:17" x14ac:dyDescent="0.15">
      <c r="A50" s="76" t="s">
        <v>147</v>
      </c>
      <c r="B50" s="70" t="s">
        <v>153</v>
      </c>
      <c r="C50" s="70">
        <f t="shared" si="2"/>
        <v>0</v>
      </c>
      <c r="D50" s="70">
        <v>2</v>
      </c>
      <c r="E50" s="70">
        <f t="shared" si="29"/>
        <v>450</v>
      </c>
      <c r="F50" s="70">
        <f t="shared" si="30"/>
        <v>60</v>
      </c>
      <c r="G50" s="70">
        <f t="shared" si="31"/>
        <v>60</v>
      </c>
      <c r="H50" s="70">
        <f t="shared" si="41"/>
        <v>135</v>
      </c>
      <c r="I50" s="70">
        <f t="shared" si="32"/>
        <v>135</v>
      </c>
      <c r="J50" s="70">
        <f t="shared" si="33"/>
        <v>0</v>
      </c>
      <c r="K50" s="70">
        <f t="shared" si="34"/>
        <v>0</v>
      </c>
      <c r="L50" s="70">
        <f t="shared" si="35"/>
        <v>1.5</v>
      </c>
      <c r="M50" s="70">
        <f t="shared" si="36"/>
        <v>0.15000000000000002</v>
      </c>
      <c r="N50" s="70">
        <f t="shared" si="37"/>
        <v>2</v>
      </c>
      <c r="O50" s="70">
        <f t="shared" si="38"/>
        <v>0</v>
      </c>
      <c r="P50" s="70">
        <f t="shared" si="39"/>
        <v>0</v>
      </c>
      <c r="Q50" s="70">
        <f t="shared" si="40"/>
        <v>0</v>
      </c>
    </row>
    <row r="51" spans="1:17" x14ac:dyDescent="0.15">
      <c r="A51" s="76" t="s">
        <v>147</v>
      </c>
      <c r="B51" s="70" t="s">
        <v>153</v>
      </c>
      <c r="C51" s="70">
        <f t="shared" si="2"/>
        <v>0</v>
      </c>
      <c r="D51" s="70">
        <v>3</v>
      </c>
      <c r="E51" s="70">
        <f t="shared" si="29"/>
        <v>480</v>
      </c>
      <c r="F51" s="70">
        <f t="shared" si="30"/>
        <v>64</v>
      </c>
      <c r="G51" s="70">
        <f t="shared" si="31"/>
        <v>64</v>
      </c>
      <c r="H51" s="70">
        <f t="shared" si="41"/>
        <v>144</v>
      </c>
      <c r="I51" s="70">
        <f t="shared" si="32"/>
        <v>144</v>
      </c>
      <c r="J51" s="70">
        <f t="shared" si="33"/>
        <v>0</v>
      </c>
      <c r="K51" s="70">
        <f t="shared" si="34"/>
        <v>0</v>
      </c>
      <c r="L51" s="70">
        <f t="shared" si="35"/>
        <v>1.6</v>
      </c>
      <c r="M51" s="70">
        <f t="shared" si="36"/>
        <v>0.16000000000000003</v>
      </c>
      <c r="N51" s="70">
        <f t="shared" si="37"/>
        <v>2</v>
      </c>
      <c r="O51" s="70">
        <f t="shared" si="38"/>
        <v>0</v>
      </c>
      <c r="P51" s="70">
        <f t="shared" si="39"/>
        <v>0</v>
      </c>
      <c r="Q51" s="70">
        <f t="shared" si="40"/>
        <v>0</v>
      </c>
    </row>
    <row r="52" spans="1:17" x14ac:dyDescent="0.15">
      <c r="A52" s="76" t="s">
        <v>148</v>
      </c>
      <c r="B52" s="70" t="s">
        <v>149</v>
      </c>
      <c r="C52" s="70">
        <f t="shared" si="2"/>
        <v>0</v>
      </c>
      <c r="D52" s="70">
        <v>1</v>
      </c>
      <c r="E52" s="70">
        <f t="shared" si="29"/>
        <v>624</v>
      </c>
      <c r="F52" s="70">
        <f t="shared" si="30"/>
        <v>52</v>
      </c>
      <c r="G52" s="70">
        <f t="shared" si="31"/>
        <v>52</v>
      </c>
      <c r="H52" s="70">
        <f t="shared" si="41"/>
        <v>93.6</v>
      </c>
      <c r="I52" s="70">
        <f t="shared" si="32"/>
        <v>93.6</v>
      </c>
      <c r="J52" s="70">
        <f t="shared" si="33"/>
        <v>0</v>
      </c>
      <c r="K52" s="70">
        <f t="shared" si="34"/>
        <v>0</v>
      </c>
      <c r="L52" s="70">
        <f t="shared" si="35"/>
        <v>1.3</v>
      </c>
      <c r="M52" s="70">
        <f t="shared" si="36"/>
        <v>0</v>
      </c>
      <c r="N52" s="70">
        <f t="shared" si="37"/>
        <v>2</v>
      </c>
      <c r="O52" s="70">
        <f t="shared" si="38"/>
        <v>0</v>
      </c>
      <c r="P52" s="70">
        <f t="shared" si="39"/>
        <v>0.1</v>
      </c>
      <c r="Q52" s="70">
        <f t="shared" si="40"/>
        <v>0</v>
      </c>
    </row>
    <row r="53" spans="1:17" x14ac:dyDescent="0.15">
      <c r="A53" s="76" t="s">
        <v>148</v>
      </c>
      <c r="B53" s="70" t="s">
        <v>149</v>
      </c>
      <c r="C53" s="70">
        <f t="shared" si="2"/>
        <v>0</v>
      </c>
      <c r="D53" s="70">
        <v>2</v>
      </c>
      <c r="E53" s="70">
        <f t="shared" si="29"/>
        <v>720</v>
      </c>
      <c r="F53" s="70">
        <f t="shared" si="30"/>
        <v>60</v>
      </c>
      <c r="G53" s="70">
        <f t="shared" si="31"/>
        <v>60</v>
      </c>
      <c r="H53" s="70">
        <f t="shared" si="41"/>
        <v>108</v>
      </c>
      <c r="I53" s="70">
        <f t="shared" si="32"/>
        <v>108</v>
      </c>
      <c r="J53" s="70">
        <f t="shared" si="33"/>
        <v>0</v>
      </c>
      <c r="K53" s="70">
        <f t="shared" si="34"/>
        <v>0</v>
      </c>
      <c r="L53" s="70">
        <f>I$3*VLOOKUP($D53,$A$5:$N$8,L$20,FALSE)*VLOOKUP($B53,$A$10:$O$18,L$20+1,FALSE)</f>
        <v>1.5</v>
      </c>
      <c r="M53" s="70">
        <f t="shared" si="36"/>
        <v>0</v>
      </c>
      <c r="N53" s="70">
        <f t="shared" si="37"/>
        <v>2</v>
      </c>
      <c r="O53" s="70">
        <f t="shared" si="38"/>
        <v>0</v>
      </c>
      <c r="P53" s="70">
        <f t="shared" si="39"/>
        <v>0.1</v>
      </c>
      <c r="Q53" s="70">
        <f t="shared" si="40"/>
        <v>0</v>
      </c>
    </row>
    <row r="54" spans="1:17" x14ac:dyDescent="0.15">
      <c r="A54" s="76" t="s">
        <v>148</v>
      </c>
      <c r="B54" s="70" t="s">
        <v>149</v>
      </c>
      <c r="C54" s="70">
        <f t="shared" si="2"/>
        <v>0</v>
      </c>
      <c r="D54" s="70">
        <v>3</v>
      </c>
      <c r="E54" s="70">
        <f t="shared" si="29"/>
        <v>768</v>
      </c>
      <c r="F54" s="70">
        <f t="shared" si="30"/>
        <v>64</v>
      </c>
      <c r="G54" s="70">
        <f t="shared" si="31"/>
        <v>64</v>
      </c>
      <c r="H54" s="70">
        <f t="shared" si="41"/>
        <v>115.19999999999999</v>
      </c>
      <c r="I54" s="70">
        <f t="shared" si="32"/>
        <v>115.19999999999999</v>
      </c>
      <c r="J54" s="70">
        <f t="shared" si="33"/>
        <v>0</v>
      </c>
      <c r="K54" s="70">
        <f t="shared" si="34"/>
        <v>0</v>
      </c>
      <c r="L54" s="70">
        <f t="shared" si="35"/>
        <v>1.6</v>
      </c>
      <c r="M54" s="70">
        <f t="shared" si="36"/>
        <v>0</v>
      </c>
      <c r="N54" s="70">
        <f t="shared" si="37"/>
        <v>2</v>
      </c>
      <c r="O54" s="70">
        <f t="shared" si="38"/>
        <v>0</v>
      </c>
      <c r="P54" s="70">
        <f t="shared" si="39"/>
        <v>0.1</v>
      </c>
      <c r="Q54" s="70">
        <f t="shared" si="40"/>
        <v>0</v>
      </c>
    </row>
    <row r="55" spans="1:17" x14ac:dyDescent="0.15">
      <c r="A55" s="76" t="s">
        <v>154</v>
      </c>
      <c r="B55" s="70" t="s">
        <v>155</v>
      </c>
      <c r="C55" s="70">
        <f t="shared" si="2"/>
        <v>1</v>
      </c>
      <c r="D55" s="70">
        <v>1</v>
      </c>
      <c r="E55" s="70">
        <f t="shared" si="29"/>
        <v>896.99999999999989</v>
      </c>
      <c r="F55" s="70">
        <f t="shared" si="30"/>
        <v>65</v>
      </c>
      <c r="G55" s="70">
        <f t="shared" si="31"/>
        <v>65</v>
      </c>
      <c r="H55" s="70">
        <f t="shared" si="41"/>
        <v>54.599999999999994</v>
      </c>
      <c r="I55" s="70">
        <f t="shared" si="32"/>
        <v>54.599999999999994</v>
      </c>
      <c r="J55" s="70">
        <f t="shared" si="33"/>
        <v>0</v>
      </c>
      <c r="K55" s="70">
        <f t="shared" si="34"/>
        <v>0</v>
      </c>
      <c r="L55" s="70">
        <f t="shared" si="35"/>
        <v>1.04</v>
      </c>
      <c r="M55" s="70">
        <f t="shared" si="36"/>
        <v>0</v>
      </c>
      <c r="N55" s="70">
        <f t="shared" si="37"/>
        <v>2</v>
      </c>
      <c r="O55" s="70">
        <f t="shared" si="38"/>
        <v>0</v>
      </c>
      <c r="P55" s="70">
        <f t="shared" si="39"/>
        <v>0</v>
      </c>
      <c r="Q55" s="70">
        <f t="shared" si="40"/>
        <v>0</v>
      </c>
    </row>
    <row r="56" spans="1:17" x14ac:dyDescent="0.15">
      <c r="A56" s="76" t="s">
        <v>154</v>
      </c>
      <c r="B56" s="70" t="s">
        <v>155</v>
      </c>
      <c r="C56" s="70">
        <f t="shared" si="2"/>
        <v>1</v>
      </c>
      <c r="D56" s="70">
        <v>2</v>
      </c>
      <c r="E56" s="70">
        <f t="shared" si="29"/>
        <v>1035</v>
      </c>
      <c r="F56" s="70">
        <f t="shared" si="30"/>
        <v>75</v>
      </c>
      <c r="G56" s="70">
        <f t="shared" si="31"/>
        <v>75</v>
      </c>
      <c r="H56" s="70">
        <f t="shared" si="41"/>
        <v>62.999999999999993</v>
      </c>
      <c r="I56" s="70">
        <f t="shared" si="32"/>
        <v>62.999999999999993</v>
      </c>
      <c r="J56" s="70">
        <f t="shared" si="33"/>
        <v>0</v>
      </c>
      <c r="K56" s="70">
        <f t="shared" si="34"/>
        <v>0</v>
      </c>
      <c r="L56" s="70">
        <f t="shared" si="35"/>
        <v>1.2000000000000002</v>
      </c>
      <c r="M56" s="70">
        <f t="shared" si="36"/>
        <v>0</v>
      </c>
      <c r="N56" s="70">
        <f t="shared" si="37"/>
        <v>2</v>
      </c>
      <c r="O56" s="70">
        <f t="shared" si="38"/>
        <v>0</v>
      </c>
      <c r="P56" s="70">
        <f t="shared" si="39"/>
        <v>0</v>
      </c>
      <c r="Q56" s="70">
        <f t="shared" si="40"/>
        <v>0</v>
      </c>
    </row>
    <row r="57" spans="1:17" x14ac:dyDescent="0.15">
      <c r="A57" s="76" t="s">
        <v>154</v>
      </c>
      <c r="B57" s="70" t="s">
        <v>155</v>
      </c>
      <c r="C57" s="70">
        <f t="shared" si="2"/>
        <v>1</v>
      </c>
      <c r="D57" s="70">
        <v>3</v>
      </c>
      <c r="E57" s="70">
        <f t="shared" si="29"/>
        <v>1104</v>
      </c>
      <c r="F57" s="70">
        <f t="shared" si="30"/>
        <v>80</v>
      </c>
      <c r="G57" s="70">
        <f t="shared" si="31"/>
        <v>80</v>
      </c>
      <c r="H57" s="70">
        <f t="shared" si="41"/>
        <v>67.199999999999989</v>
      </c>
      <c r="I57" s="70">
        <f t="shared" si="32"/>
        <v>67.199999999999989</v>
      </c>
      <c r="J57" s="70">
        <f t="shared" si="33"/>
        <v>0</v>
      </c>
      <c r="K57" s="70">
        <f t="shared" si="34"/>
        <v>0</v>
      </c>
      <c r="L57" s="70">
        <f t="shared" si="35"/>
        <v>1.2800000000000002</v>
      </c>
      <c r="M57" s="70">
        <f t="shared" si="36"/>
        <v>0</v>
      </c>
      <c r="N57" s="70">
        <f t="shared" si="37"/>
        <v>2</v>
      </c>
      <c r="O57" s="70">
        <f t="shared" si="38"/>
        <v>0</v>
      </c>
      <c r="P57" s="70">
        <f t="shared" si="39"/>
        <v>0</v>
      </c>
      <c r="Q57" s="70">
        <f t="shared" si="40"/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16"/>
  <sheetViews>
    <sheetView workbookViewId="0">
      <selection activeCell="F29" sqref="F29"/>
    </sheetView>
  </sheetViews>
  <sheetFormatPr defaultRowHeight="13.5" x14ac:dyDescent="0.15"/>
  <cols>
    <col min="1" max="1" width="11" bestFit="1" customWidth="1"/>
  </cols>
  <sheetData>
    <row r="2" spans="1:15" x14ac:dyDescent="0.15">
      <c r="A2" s="78" t="s">
        <v>157</v>
      </c>
      <c r="B2" s="76" t="s">
        <v>99</v>
      </c>
      <c r="C2" s="76" t="s">
        <v>100</v>
      </c>
      <c r="D2" s="76" t="s">
        <v>14</v>
      </c>
      <c r="E2" s="76" t="s">
        <v>101</v>
      </c>
      <c r="F2" s="76" t="s">
        <v>102</v>
      </c>
      <c r="G2" s="76" t="s">
        <v>103</v>
      </c>
      <c r="H2" s="76" t="s">
        <v>104</v>
      </c>
      <c r="I2" s="76" t="s">
        <v>2</v>
      </c>
      <c r="J2" s="76" t="s">
        <v>105</v>
      </c>
      <c r="K2" s="76" t="s">
        <v>106</v>
      </c>
      <c r="L2" s="76" t="s">
        <v>107</v>
      </c>
      <c r="M2" s="76" t="s">
        <v>44</v>
      </c>
      <c r="N2" s="76" t="s">
        <v>108</v>
      </c>
    </row>
    <row r="3" spans="1:15" x14ac:dyDescent="0.15">
      <c r="A3" s="79" t="s">
        <v>158</v>
      </c>
      <c r="B3" s="69">
        <v>0</v>
      </c>
      <c r="C3" s="69">
        <v>0</v>
      </c>
      <c r="D3" s="69">
        <v>0</v>
      </c>
      <c r="E3" s="69">
        <v>20</v>
      </c>
      <c r="F3" s="69">
        <v>0</v>
      </c>
      <c r="G3" s="69">
        <v>0</v>
      </c>
      <c r="H3" s="69">
        <v>0</v>
      </c>
      <c r="I3" s="69">
        <v>0</v>
      </c>
      <c r="J3" s="69">
        <v>0</v>
      </c>
      <c r="K3" s="69">
        <v>0</v>
      </c>
      <c r="L3" s="69">
        <v>0</v>
      </c>
      <c r="M3" s="69">
        <v>0</v>
      </c>
      <c r="N3" s="69">
        <v>0</v>
      </c>
      <c r="O3">
        <f>SUM(B3:N3)</f>
        <v>20</v>
      </c>
    </row>
    <row r="4" spans="1:15" x14ac:dyDescent="0.15">
      <c r="A4" s="79" t="s">
        <v>159</v>
      </c>
      <c r="B4" s="69">
        <v>0</v>
      </c>
      <c r="C4" s="69">
        <v>0</v>
      </c>
      <c r="D4" s="69">
        <v>0</v>
      </c>
      <c r="E4" s="69">
        <v>0</v>
      </c>
      <c r="F4" s="69">
        <v>0</v>
      </c>
      <c r="G4" s="69">
        <v>0</v>
      </c>
      <c r="H4" s="69">
        <v>0</v>
      </c>
      <c r="I4" s="71">
        <v>0.1</v>
      </c>
      <c r="J4" s="69">
        <v>0</v>
      </c>
      <c r="K4" s="69">
        <v>0</v>
      </c>
      <c r="L4" s="69">
        <v>0</v>
      </c>
      <c r="M4" s="69">
        <v>0</v>
      </c>
      <c r="N4" s="69">
        <v>0</v>
      </c>
      <c r="O4">
        <f t="shared" ref="O4:O15" si="0">SUM(B4:N4)</f>
        <v>0.1</v>
      </c>
    </row>
    <row r="5" spans="1:15" x14ac:dyDescent="0.15">
      <c r="A5" s="79" t="s">
        <v>160</v>
      </c>
      <c r="B5" s="69">
        <v>0</v>
      </c>
      <c r="C5" s="69">
        <v>0</v>
      </c>
      <c r="D5" s="69">
        <v>0</v>
      </c>
      <c r="E5" s="69">
        <v>0</v>
      </c>
      <c r="F5" s="69">
        <v>20</v>
      </c>
      <c r="G5" s="69">
        <v>0</v>
      </c>
      <c r="H5" s="69">
        <v>0</v>
      </c>
      <c r="I5" s="69">
        <v>0</v>
      </c>
      <c r="J5" s="69">
        <v>0</v>
      </c>
      <c r="K5" s="69">
        <v>0</v>
      </c>
      <c r="L5" s="69">
        <v>0</v>
      </c>
      <c r="M5" s="69">
        <v>0</v>
      </c>
      <c r="N5" s="69">
        <v>0</v>
      </c>
      <c r="O5">
        <f t="shared" si="0"/>
        <v>20</v>
      </c>
    </row>
    <row r="6" spans="1:15" x14ac:dyDescent="0.15">
      <c r="A6" s="79" t="s">
        <v>161</v>
      </c>
      <c r="B6" s="69">
        <v>0</v>
      </c>
      <c r="C6" s="69">
        <v>50</v>
      </c>
      <c r="D6" s="69">
        <v>0</v>
      </c>
      <c r="E6" s="69">
        <v>0</v>
      </c>
      <c r="F6" s="69">
        <v>0</v>
      </c>
      <c r="G6" s="69">
        <v>0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>
        <f t="shared" si="0"/>
        <v>50</v>
      </c>
    </row>
    <row r="7" spans="1:15" x14ac:dyDescent="0.15">
      <c r="A7" s="79" t="s">
        <v>162</v>
      </c>
      <c r="B7" s="69">
        <v>0</v>
      </c>
      <c r="C7" s="69">
        <v>0</v>
      </c>
      <c r="D7" s="69">
        <v>50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>
        <f t="shared" si="0"/>
        <v>50</v>
      </c>
    </row>
    <row r="8" spans="1:15" x14ac:dyDescent="0.15">
      <c r="A8" s="79" t="s">
        <v>163</v>
      </c>
      <c r="B8" s="69">
        <v>0</v>
      </c>
      <c r="C8" s="69">
        <v>0</v>
      </c>
      <c r="D8" s="69">
        <v>0</v>
      </c>
      <c r="E8" s="69">
        <v>0</v>
      </c>
      <c r="F8" s="69">
        <v>0</v>
      </c>
      <c r="G8" s="71">
        <v>0.15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>
        <f t="shared" si="0"/>
        <v>0.15</v>
      </c>
    </row>
    <row r="9" spans="1:15" x14ac:dyDescent="0.15">
      <c r="A9" s="79" t="s">
        <v>164</v>
      </c>
      <c r="B9" s="69">
        <v>400</v>
      </c>
      <c r="C9" s="69">
        <v>0</v>
      </c>
      <c r="D9" s="69">
        <v>0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>
        <f t="shared" si="0"/>
        <v>400</v>
      </c>
    </row>
    <row r="10" spans="1:15" x14ac:dyDescent="0.15">
      <c r="A10" s="79" t="s">
        <v>165</v>
      </c>
      <c r="B10" s="69">
        <v>0</v>
      </c>
      <c r="C10" s="69">
        <v>0</v>
      </c>
      <c r="D10" s="69">
        <v>0</v>
      </c>
      <c r="E10" s="69">
        <v>0</v>
      </c>
      <c r="F10" s="69">
        <v>0</v>
      </c>
      <c r="G10" s="72">
        <v>0</v>
      </c>
      <c r="H10" s="71">
        <v>0.15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>
        <f t="shared" si="0"/>
        <v>0.15</v>
      </c>
    </row>
    <row r="11" spans="1:15" x14ac:dyDescent="0.15">
      <c r="A11" s="79" t="s">
        <v>166</v>
      </c>
      <c r="B11" s="69">
        <v>0</v>
      </c>
      <c r="C11" s="69">
        <v>0</v>
      </c>
      <c r="D11" s="69">
        <v>0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71">
        <v>0.15</v>
      </c>
      <c r="O11">
        <f t="shared" si="0"/>
        <v>0.15</v>
      </c>
    </row>
    <row r="12" spans="1:15" x14ac:dyDescent="0.15">
      <c r="A12" s="79" t="s">
        <v>167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71">
        <v>0.15</v>
      </c>
      <c r="N12" s="69">
        <v>0</v>
      </c>
      <c r="O12">
        <f t="shared" si="0"/>
        <v>0.15</v>
      </c>
    </row>
    <row r="13" spans="1:15" x14ac:dyDescent="0.15">
      <c r="A13" s="79" t="s">
        <v>168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  <c r="G13" s="69">
        <v>0</v>
      </c>
      <c r="H13" s="69">
        <v>0</v>
      </c>
      <c r="I13" s="69">
        <v>0</v>
      </c>
      <c r="J13" s="69">
        <v>0</v>
      </c>
      <c r="K13" s="71">
        <v>0.2</v>
      </c>
      <c r="L13" s="69">
        <v>0</v>
      </c>
      <c r="M13" s="69">
        <v>0</v>
      </c>
      <c r="N13" s="69">
        <v>0</v>
      </c>
      <c r="O13">
        <f t="shared" si="0"/>
        <v>0.2</v>
      </c>
    </row>
    <row r="14" spans="1:15" x14ac:dyDescent="0.15">
      <c r="A14" s="79" t="s">
        <v>169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  <c r="G14" s="69">
        <v>0</v>
      </c>
      <c r="H14" s="69">
        <v>0</v>
      </c>
      <c r="I14" s="69">
        <v>0</v>
      </c>
      <c r="J14" s="71">
        <v>0.3</v>
      </c>
      <c r="K14" s="69">
        <v>0</v>
      </c>
      <c r="L14" s="69">
        <v>0</v>
      </c>
      <c r="M14" s="69">
        <v>0</v>
      </c>
      <c r="N14" s="69">
        <v>0</v>
      </c>
      <c r="O14">
        <f t="shared" si="0"/>
        <v>0.3</v>
      </c>
    </row>
    <row r="15" spans="1:15" x14ac:dyDescent="0.15">
      <c r="A15" s="79" t="s">
        <v>170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  <c r="G15" s="69">
        <v>0</v>
      </c>
      <c r="H15" s="69">
        <v>0</v>
      </c>
      <c r="I15" s="69">
        <v>0</v>
      </c>
      <c r="J15" s="69">
        <v>0</v>
      </c>
      <c r="K15" s="69">
        <v>0</v>
      </c>
      <c r="L15" s="71">
        <v>0.25</v>
      </c>
      <c r="M15" s="69">
        <v>0</v>
      </c>
      <c r="N15" s="69">
        <v>0</v>
      </c>
      <c r="O15">
        <f t="shared" si="0"/>
        <v>0.25</v>
      </c>
    </row>
    <row r="16" spans="1:15" x14ac:dyDescent="0.15">
      <c r="B16">
        <f t="shared" ref="B16:N16" si="1">SUM(B2:B15)</f>
        <v>400</v>
      </c>
      <c r="C16">
        <f t="shared" si="1"/>
        <v>50</v>
      </c>
      <c r="D16">
        <f t="shared" si="1"/>
        <v>50</v>
      </c>
      <c r="E16">
        <f t="shared" si="1"/>
        <v>20</v>
      </c>
      <c r="F16">
        <f t="shared" si="1"/>
        <v>20</v>
      </c>
      <c r="G16">
        <f t="shared" si="1"/>
        <v>0.15</v>
      </c>
      <c r="H16">
        <f>SUM(H2:H15)</f>
        <v>0.15</v>
      </c>
      <c r="I16">
        <f>SUM(I2:I15)</f>
        <v>0.1</v>
      </c>
      <c r="J16">
        <f t="shared" si="1"/>
        <v>0.3</v>
      </c>
      <c r="K16">
        <f t="shared" si="1"/>
        <v>0.2</v>
      </c>
      <c r="L16">
        <f t="shared" si="1"/>
        <v>0.25</v>
      </c>
      <c r="M16">
        <f t="shared" si="1"/>
        <v>0.15</v>
      </c>
      <c r="N16">
        <f t="shared" si="1"/>
        <v>0.15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33"/>
  <sheetViews>
    <sheetView tabSelected="1" workbookViewId="0">
      <selection activeCell="G12" sqref="G12"/>
    </sheetView>
  </sheetViews>
  <sheetFormatPr defaultRowHeight="14.25" x14ac:dyDescent="0.15"/>
  <cols>
    <col min="1" max="1" width="14.125" style="34" bestFit="1" customWidth="1"/>
    <col min="2" max="16" width="9" style="34"/>
    <col min="17" max="21" width="9" style="35"/>
    <col min="22" max="22" width="36.625" style="35" customWidth="1"/>
    <col min="23" max="16384" width="9" style="35"/>
  </cols>
  <sheetData>
    <row r="1" spans="1:22" ht="33" customHeight="1" x14ac:dyDescent="0.15">
      <c r="A1" s="43"/>
      <c r="B1" s="43"/>
      <c r="C1" s="43"/>
      <c r="D1" s="43"/>
      <c r="E1" s="43"/>
      <c r="F1" s="43"/>
      <c r="G1" s="59" t="s">
        <v>208</v>
      </c>
      <c r="H1" s="59"/>
      <c r="I1" s="59"/>
      <c r="J1" s="59"/>
      <c r="K1" s="59"/>
      <c r="L1" s="59"/>
      <c r="M1" s="59"/>
      <c r="N1" s="43"/>
      <c r="O1" s="43"/>
      <c r="P1" s="43"/>
      <c r="Q1" s="44"/>
      <c r="R1" s="44"/>
      <c r="S1" s="44"/>
    </row>
    <row r="2" spans="1:22" ht="20.25" x14ac:dyDescent="0.15">
      <c r="A2" s="63" t="s">
        <v>199</v>
      </c>
      <c r="B2" s="65">
        <f>COUNTA(A4:A8)</f>
        <v>5</v>
      </c>
      <c r="C2" s="37"/>
      <c r="D2" s="37"/>
      <c r="E2" s="37"/>
      <c r="F2" s="37"/>
      <c r="G2" t="s">
        <v>232</v>
      </c>
      <c r="H2"/>
      <c r="I2"/>
      <c r="J2"/>
      <c r="K2"/>
      <c r="L2"/>
      <c r="M2"/>
      <c r="N2" s="64" t="s">
        <v>200</v>
      </c>
      <c r="O2" s="66">
        <f>COUNTA(N4:N8)</f>
        <v>5</v>
      </c>
      <c r="P2" s="39"/>
      <c r="Q2" s="39"/>
      <c r="R2" s="39"/>
      <c r="S2" s="39"/>
    </row>
    <row r="3" spans="1:22" ht="28.5" customHeight="1" x14ac:dyDescent="0.15">
      <c r="A3" s="41" t="s">
        <v>171</v>
      </c>
      <c r="B3" s="41" t="s">
        <v>172</v>
      </c>
      <c r="C3" s="41" t="s">
        <v>173</v>
      </c>
      <c r="D3" s="41" t="s">
        <v>174</v>
      </c>
      <c r="E3" s="41" t="s">
        <v>175</v>
      </c>
      <c r="F3" s="41" t="s">
        <v>181</v>
      </c>
      <c r="G3" t="s">
        <v>236</v>
      </c>
      <c r="H3"/>
      <c r="I3"/>
      <c r="J3"/>
      <c r="K3"/>
      <c r="L3"/>
      <c r="M3"/>
      <c r="N3" s="61" t="s">
        <v>171</v>
      </c>
      <c r="O3" s="61" t="s">
        <v>172</v>
      </c>
      <c r="P3" s="61" t="s">
        <v>173</v>
      </c>
      <c r="Q3" s="61" t="s">
        <v>174</v>
      </c>
      <c r="R3" s="61" t="s">
        <v>175</v>
      </c>
      <c r="S3" s="61" t="s">
        <v>182</v>
      </c>
      <c r="U3" s="67" t="s">
        <v>220</v>
      </c>
      <c r="V3" s="68" t="s">
        <v>221</v>
      </c>
    </row>
    <row r="4" spans="1:22" x14ac:dyDescent="0.15">
      <c r="A4" s="60" t="s">
        <v>224</v>
      </c>
      <c r="B4" s="60">
        <v>3</v>
      </c>
      <c r="C4" s="60" t="s">
        <v>170</v>
      </c>
      <c r="D4" s="60" t="s">
        <v>225</v>
      </c>
      <c r="E4" s="60" t="s">
        <v>226</v>
      </c>
      <c r="F4" s="41">
        <v>0</v>
      </c>
      <c r="G4" t="s">
        <v>237</v>
      </c>
      <c r="H4"/>
      <c r="I4"/>
      <c r="J4"/>
      <c r="K4"/>
      <c r="L4"/>
      <c r="M4"/>
      <c r="N4" s="62" t="s">
        <v>209</v>
      </c>
      <c r="O4" s="62">
        <v>3</v>
      </c>
      <c r="P4" s="62" t="s">
        <v>219</v>
      </c>
      <c r="Q4" s="62" t="s">
        <v>210</v>
      </c>
      <c r="R4" s="62" t="s">
        <v>210</v>
      </c>
      <c r="S4" s="39">
        <v>0</v>
      </c>
      <c r="V4" s="68"/>
    </row>
    <row r="5" spans="1:22" x14ac:dyDescent="0.15">
      <c r="A5" s="60" t="s">
        <v>243</v>
      </c>
      <c r="B5" s="60">
        <v>2</v>
      </c>
      <c r="C5" s="60" t="s">
        <v>244</v>
      </c>
      <c r="D5" s="60" t="s">
        <v>161</v>
      </c>
      <c r="E5" s="60" t="s">
        <v>245</v>
      </c>
      <c r="F5" s="41">
        <v>0</v>
      </c>
      <c r="G5" t="s">
        <v>234</v>
      </c>
      <c r="H5"/>
      <c r="I5"/>
      <c r="J5"/>
      <c r="K5"/>
      <c r="L5"/>
      <c r="M5"/>
      <c r="N5" s="62" t="s">
        <v>223</v>
      </c>
      <c r="O5" s="62">
        <v>3</v>
      </c>
      <c r="P5" s="62" t="s">
        <v>210</v>
      </c>
      <c r="Q5" s="62" t="s">
        <v>162</v>
      </c>
      <c r="R5" s="62" t="s">
        <v>211</v>
      </c>
      <c r="S5" s="39">
        <v>0</v>
      </c>
      <c r="V5" s="68"/>
    </row>
    <row r="6" spans="1:22" x14ac:dyDescent="0.15">
      <c r="A6" s="60" t="s">
        <v>227</v>
      </c>
      <c r="B6" s="60">
        <v>3</v>
      </c>
      <c r="C6" s="60" t="s">
        <v>246</v>
      </c>
      <c r="D6" s="60" t="s">
        <v>164</v>
      </c>
      <c r="E6" s="60" t="s">
        <v>226</v>
      </c>
      <c r="F6" s="41">
        <v>0</v>
      </c>
      <c r="G6" t="s">
        <v>235</v>
      </c>
      <c r="H6"/>
      <c r="I6"/>
      <c r="J6"/>
      <c r="K6"/>
      <c r="L6"/>
      <c r="M6"/>
      <c r="N6" s="62" t="s">
        <v>212</v>
      </c>
      <c r="O6" s="62">
        <v>3</v>
      </c>
      <c r="P6" s="62" t="s">
        <v>213</v>
      </c>
      <c r="Q6" s="62" t="s">
        <v>213</v>
      </c>
      <c r="R6" s="62" t="s">
        <v>210</v>
      </c>
      <c r="S6" s="39">
        <v>0</v>
      </c>
      <c r="V6" s="68"/>
    </row>
    <row r="7" spans="1:22" x14ac:dyDescent="0.15">
      <c r="A7" s="60" t="s">
        <v>228</v>
      </c>
      <c r="B7" s="60">
        <v>2</v>
      </c>
      <c r="C7" s="60" t="s">
        <v>247</v>
      </c>
      <c r="D7" s="60" t="s">
        <v>225</v>
      </c>
      <c r="E7" s="60" t="s">
        <v>229</v>
      </c>
      <c r="F7" s="41">
        <v>0</v>
      </c>
      <c r="G7" t="s">
        <v>233</v>
      </c>
      <c r="H7"/>
      <c r="I7"/>
      <c r="J7"/>
      <c r="K7"/>
      <c r="L7"/>
      <c r="M7"/>
      <c r="N7" s="62" t="s">
        <v>214</v>
      </c>
      <c r="O7" s="62">
        <v>2</v>
      </c>
      <c r="P7" s="62" t="s">
        <v>217</v>
      </c>
      <c r="Q7" s="62" t="s">
        <v>163</v>
      </c>
      <c r="R7" s="62"/>
      <c r="S7" s="39">
        <v>0</v>
      </c>
      <c r="V7" s="68"/>
    </row>
    <row r="8" spans="1:22" x14ac:dyDescent="0.15">
      <c r="A8" s="60" t="s">
        <v>230</v>
      </c>
      <c r="B8" s="60">
        <v>2</v>
      </c>
      <c r="C8" s="60" t="s">
        <v>246</v>
      </c>
      <c r="D8" s="60" t="s">
        <v>231</v>
      </c>
      <c r="E8" s="60" t="s">
        <v>164</v>
      </c>
      <c r="F8" s="41">
        <v>220</v>
      </c>
      <c r="G8" t="s">
        <v>238</v>
      </c>
      <c r="H8"/>
      <c r="I8"/>
      <c r="J8"/>
      <c r="K8"/>
      <c r="L8"/>
      <c r="M8"/>
      <c r="N8" s="62" t="s">
        <v>215</v>
      </c>
      <c r="O8" s="62">
        <v>2</v>
      </c>
      <c r="P8" s="62" t="s">
        <v>222</v>
      </c>
      <c r="Q8" s="62" t="s">
        <v>216</v>
      </c>
      <c r="R8" s="62" t="s">
        <v>218</v>
      </c>
      <c r="S8" s="39">
        <v>0</v>
      </c>
      <c r="V8" s="68"/>
    </row>
    <row r="9" spans="1:22" x14ac:dyDescent="0.15">
      <c r="G9" t="s">
        <v>239</v>
      </c>
      <c r="H9"/>
      <c r="I9"/>
      <c r="J9"/>
      <c r="K9"/>
      <c r="L9"/>
      <c r="M9"/>
      <c r="Q9" s="34"/>
      <c r="R9" s="34"/>
      <c r="S9" s="34"/>
      <c r="V9" s="68"/>
    </row>
    <row r="10" spans="1:22" x14ac:dyDescent="0.15">
      <c r="A10" s="34" t="s">
        <v>180</v>
      </c>
      <c r="G10" t="s">
        <v>240</v>
      </c>
      <c r="H10"/>
      <c r="I10"/>
      <c r="J10"/>
      <c r="K10"/>
      <c r="L10"/>
      <c r="M10"/>
      <c r="N10" s="36" t="s">
        <v>183</v>
      </c>
      <c r="Q10" s="34"/>
      <c r="R10" s="34"/>
      <c r="S10" s="34"/>
      <c r="V10" s="68"/>
    </row>
    <row r="11" spans="1:22" x14ac:dyDescent="0.15">
      <c r="A11" s="47" t="s">
        <v>176</v>
      </c>
      <c r="B11" s="47" t="s">
        <v>177</v>
      </c>
      <c r="C11" s="47" t="s">
        <v>178</v>
      </c>
      <c r="D11" s="47" t="s">
        <v>201</v>
      </c>
      <c r="E11" s="47" t="s">
        <v>179</v>
      </c>
      <c r="F11" s="47" t="s">
        <v>203</v>
      </c>
      <c r="G11" t="s">
        <v>241</v>
      </c>
      <c r="H11"/>
      <c r="I11"/>
      <c r="J11"/>
      <c r="K11"/>
      <c r="L11"/>
      <c r="M11"/>
      <c r="N11" s="47" t="s">
        <v>176</v>
      </c>
      <c r="O11" s="47" t="s">
        <v>177</v>
      </c>
      <c r="P11" s="47" t="s">
        <v>178</v>
      </c>
      <c r="Q11" s="47" t="s">
        <v>201</v>
      </c>
      <c r="R11" s="47" t="s">
        <v>179</v>
      </c>
      <c r="S11" s="47" t="s">
        <v>202</v>
      </c>
    </row>
    <row r="12" spans="1:22" x14ac:dyDescent="0.15">
      <c r="A12" s="48" t="str">
        <f>A4</f>
        <v>墨菲特</v>
      </c>
      <c r="B12" s="48">
        <v>1699</v>
      </c>
      <c r="C12" s="48">
        <v>233</v>
      </c>
      <c r="D12" s="48">
        <v>4.45</v>
      </c>
      <c r="E12" s="48">
        <v>52.359550561797754</v>
      </c>
      <c r="F12" s="48">
        <v>35</v>
      </c>
      <c r="G12" t="s">
        <v>242</v>
      </c>
      <c r="H12"/>
      <c r="I12"/>
      <c r="J12"/>
      <c r="K12"/>
      <c r="L12"/>
      <c r="M12"/>
      <c r="N12" s="48" t="str">
        <f>N4</f>
        <v>贾克斯</v>
      </c>
      <c r="O12" s="48">
        <v>2006</v>
      </c>
      <c r="P12" s="48">
        <v>248</v>
      </c>
      <c r="Q12" s="48">
        <v>3.56</v>
      </c>
      <c r="R12" s="48">
        <v>69.662921348314612</v>
      </c>
      <c r="S12" s="48">
        <v>25</v>
      </c>
    </row>
    <row r="13" spans="1:22" x14ac:dyDescent="0.15">
      <c r="A13" s="48" t="str">
        <f>A5</f>
        <v>科加斯</v>
      </c>
      <c r="B13" s="48">
        <v>1167</v>
      </c>
      <c r="C13" s="48">
        <v>321</v>
      </c>
      <c r="D13" s="48">
        <v>8.5500000000000007</v>
      </c>
      <c r="E13" s="48">
        <v>37.543859649122801</v>
      </c>
      <c r="F13" s="48">
        <v>0</v>
      </c>
      <c r="G13" s="38"/>
      <c r="H13" s="38"/>
      <c r="I13" s="38"/>
      <c r="J13" s="38"/>
      <c r="K13" s="38"/>
      <c r="L13" s="38"/>
      <c r="M13" s="38"/>
      <c r="N13" s="48" t="str">
        <f>N5</f>
        <v>墨菲特</v>
      </c>
      <c r="O13" s="48">
        <v>1603</v>
      </c>
      <c r="P13" s="48">
        <v>294</v>
      </c>
      <c r="Q13" s="48">
        <v>8.5500000000000007</v>
      </c>
      <c r="R13" s="48">
        <v>34.385964912280699</v>
      </c>
      <c r="S13" s="48">
        <v>0</v>
      </c>
    </row>
    <row r="14" spans="1:22" x14ac:dyDescent="0.15">
      <c r="A14" s="48" t="str">
        <f>A6</f>
        <v>辛吉德</v>
      </c>
      <c r="B14" s="48">
        <v>1928</v>
      </c>
      <c r="C14" s="48">
        <v>608</v>
      </c>
      <c r="D14" s="48">
        <v>14.04</v>
      </c>
      <c r="E14" s="48">
        <v>43.30484330484331</v>
      </c>
      <c r="F14" s="48">
        <v>0</v>
      </c>
      <c r="G14" s="38"/>
      <c r="H14" s="38"/>
      <c r="I14" s="38"/>
      <c r="J14" s="38"/>
      <c r="K14" s="38"/>
      <c r="L14" s="38"/>
      <c r="M14" s="38"/>
      <c r="N14" s="48" t="str">
        <f>N6</f>
        <v>科加斯</v>
      </c>
      <c r="O14" s="48">
        <v>1605</v>
      </c>
      <c r="P14" s="48">
        <v>640</v>
      </c>
      <c r="Q14" s="48">
        <v>13.26</v>
      </c>
      <c r="R14" s="48">
        <v>48.265460030165912</v>
      </c>
      <c r="S14" s="48">
        <v>0</v>
      </c>
    </row>
    <row r="15" spans="1:22" x14ac:dyDescent="0.15">
      <c r="A15" s="48" t="str">
        <f>A7</f>
        <v>凯特琳</v>
      </c>
      <c r="B15" s="48">
        <v>478</v>
      </c>
      <c r="C15" s="48">
        <v>2606</v>
      </c>
      <c r="D15" s="48">
        <v>15.25</v>
      </c>
      <c r="E15" s="48">
        <v>170.88524590163934</v>
      </c>
      <c r="F15" s="48">
        <v>392</v>
      </c>
      <c r="N15" s="48" t="str">
        <f>N7</f>
        <v>劫</v>
      </c>
      <c r="O15" s="48">
        <v>517</v>
      </c>
      <c r="P15" s="48">
        <v>2092</v>
      </c>
      <c r="Q15" s="48">
        <v>15.25</v>
      </c>
      <c r="R15" s="48">
        <v>137.18032786885246</v>
      </c>
      <c r="S15" s="48">
        <v>0</v>
      </c>
    </row>
    <row r="16" spans="1:22" x14ac:dyDescent="0.15">
      <c r="A16" s="48" t="str">
        <f>A8</f>
        <v>辛德拉</v>
      </c>
      <c r="B16" s="48">
        <v>630</v>
      </c>
      <c r="C16" s="48">
        <v>2497</v>
      </c>
      <c r="D16" s="48"/>
      <c r="E16" s="48"/>
      <c r="F16" s="48">
        <v>0</v>
      </c>
      <c r="N16" s="48" t="str">
        <f>N8</f>
        <v>辛德拉</v>
      </c>
      <c r="O16" s="48">
        <v>534</v>
      </c>
      <c r="P16" s="48">
        <v>2628</v>
      </c>
      <c r="Q16" s="48">
        <v>18.91</v>
      </c>
      <c r="R16" s="48">
        <v>138.97408778424114</v>
      </c>
      <c r="S16" s="48">
        <v>0</v>
      </c>
    </row>
    <row r="17" spans="1:23" x14ac:dyDescent="0.15">
      <c r="B17" s="34">
        <f>SUM(B12:B16)</f>
        <v>5902</v>
      </c>
      <c r="C17" s="34">
        <f t="shared" ref="C17:F17" si="0">SUM(C12:C16)</f>
        <v>6265</v>
      </c>
      <c r="D17" s="34">
        <f t="shared" si="0"/>
        <v>42.29</v>
      </c>
      <c r="E17" s="34">
        <f t="shared" si="0"/>
        <v>304.09349941740322</v>
      </c>
      <c r="F17" s="34">
        <f t="shared" si="0"/>
        <v>427</v>
      </c>
      <c r="O17" s="34">
        <f>SUM(O12:O16)</f>
        <v>6265</v>
      </c>
      <c r="P17" s="34">
        <f t="shared" ref="P17:S17" si="1">SUM(P12:P16)</f>
        <v>5902</v>
      </c>
      <c r="Q17" s="34">
        <f t="shared" si="1"/>
        <v>59.53</v>
      </c>
      <c r="R17" s="34">
        <f t="shared" si="1"/>
        <v>428.46876194385482</v>
      </c>
      <c r="S17" s="34">
        <f t="shared" si="1"/>
        <v>25</v>
      </c>
    </row>
    <row r="18" spans="1:23" x14ac:dyDescent="0.15">
      <c r="I18" s="40">
        <v>2</v>
      </c>
      <c r="J18" s="40">
        <v>3</v>
      </c>
      <c r="K18" s="40">
        <v>4</v>
      </c>
      <c r="L18" s="40">
        <v>5</v>
      </c>
      <c r="M18" s="40">
        <v>6</v>
      </c>
      <c r="N18" s="40">
        <v>7</v>
      </c>
      <c r="O18" s="40">
        <v>8</v>
      </c>
      <c r="P18" s="40">
        <v>9</v>
      </c>
      <c r="Q18" s="40">
        <v>10</v>
      </c>
      <c r="R18" s="40">
        <v>11</v>
      </c>
      <c r="S18" s="40">
        <v>12</v>
      </c>
      <c r="T18" s="40">
        <v>13</v>
      </c>
      <c r="U18" s="40">
        <v>14</v>
      </c>
    </row>
    <row r="19" spans="1:23" x14ac:dyDescent="0.15">
      <c r="A19" s="47" t="s">
        <v>54</v>
      </c>
      <c r="B19" s="47" t="s">
        <v>189</v>
      </c>
      <c r="C19" s="47" t="s">
        <v>133</v>
      </c>
      <c r="D19" s="47" t="s">
        <v>134</v>
      </c>
      <c r="E19" s="47" t="s">
        <v>110</v>
      </c>
      <c r="F19" s="47" t="s">
        <v>173</v>
      </c>
      <c r="G19" s="47" t="s">
        <v>174</v>
      </c>
      <c r="H19" s="47" t="s">
        <v>175</v>
      </c>
      <c r="I19" s="47" t="s">
        <v>99</v>
      </c>
      <c r="J19" s="47" t="s">
        <v>100</v>
      </c>
      <c r="K19" s="47" t="s">
        <v>14</v>
      </c>
      <c r="L19" s="47" t="s">
        <v>101</v>
      </c>
      <c r="M19" s="47" t="s">
        <v>102</v>
      </c>
      <c r="N19" s="47" t="s">
        <v>103</v>
      </c>
      <c r="O19" s="47" t="s">
        <v>104</v>
      </c>
      <c r="P19" s="47" t="s">
        <v>2</v>
      </c>
      <c r="Q19" s="47" t="s">
        <v>105</v>
      </c>
      <c r="R19" s="47" t="s">
        <v>106</v>
      </c>
      <c r="S19" s="47" t="s">
        <v>107</v>
      </c>
      <c r="T19" s="47" t="s">
        <v>44</v>
      </c>
      <c r="U19" s="47" t="s">
        <v>108</v>
      </c>
      <c r="V19" s="34"/>
      <c r="W19" s="34"/>
    </row>
    <row r="20" spans="1:23" x14ac:dyDescent="0.15">
      <c r="A20" s="48" t="s">
        <v>184</v>
      </c>
      <c r="B20" s="48" t="str">
        <f>A4</f>
        <v>墨菲特</v>
      </c>
      <c r="C20" s="48" t="str">
        <f>VLOOKUP(B20,英雄!$R$1:$S$12,2,FALSE)</f>
        <v>物理坦克</v>
      </c>
      <c r="D20" s="48">
        <f>VLOOKUP(C20,英雄!$A$10:$P$18,2,FALSE)</f>
        <v>0</v>
      </c>
      <c r="E20" s="48">
        <f>B4</f>
        <v>3</v>
      </c>
      <c r="F20" s="48" t="str">
        <f>C4</f>
        <v>珠光护手</v>
      </c>
      <c r="G20" s="48" t="str">
        <f t="shared" ref="G20:H20" si="2">D4</f>
        <v>饮血剑</v>
      </c>
      <c r="H20" s="48" t="str">
        <f t="shared" si="2"/>
        <v>凤凰之铠甲</v>
      </c>
      <c r="I20" s="48">
        <f>VLOOKUPS(英雄!$A$21:$Q$57,战斗模拟!$B20,1,$E20,4,英雄!E$20+3)+IF($F20=0,0,VLOOKUP(战斗模拟!$F20,装备!$A$2:$N$15,I$18,FALSE))+IF($G20=0,0,VLOOKUP(战斗模拟!$G20,装备!$A$2:$N$15,I$18,FALSE))+IF($H20=0,0,VLOOKUP(战斗模拟!$H20,装备!$A$2:$N$15,I$18,FALSE))</f>
        <v>1600</v>
      </c>
      <c r="J20" s="48">
        <f>VLOOKUPS(英雄!$A$21:$Q$57,战斗模拟!$B20,1,$E20,4,英雄!F$20+3)+IF($F20=0,0,VLOOKUP(战斗模拟!$F20,装备!$A$2:$N$15,J$18,FALSE))+IF($G20=0,0,VLOOKUP(战斗模拟!$G20,装备!$A$2:$N$15,J$18,FALSE))+IF($H20=0,0,VLOOKUP(战斗模拟!$H20,装备!$A$2:$N$15,J$18,FALSE))</f>
        <v>120</v>
      </c>
      <c r="K20" s="48">
        <f>VLOOKUPS(英雄!$A$21:$Q$57,战斗模拟!$B20,1,$E20,4,英雄!G$20+3)+IF($F20=0,0,VLOOKUP(战斗模拟!$F20,装备!$A$2:$N$15,K$18,FALSE))+IF($G20=0,0,VLOOKUP(战斗模拟!$G20,装备!$A$2:$N$15,K$18,FALSE))+IF($H20=0,0,VLOOKUP(战斗模拟!$H20,装备!$A$2:$N$15,K$18,FALSE))</f>
        <v>40</v>
      </c>
      <c r="L20" s="48">
        <f>VLOOKUPS(英雄!$A$21:$Q$57,战斗模拟!$B20,1,$E20,4,英雄!H$20+3)+IF($F20=0,0,VLOOKUP(战斗模拟!$F20,装备!$A$2:$N$15,L$18,FALSE))+IF($G20=0,0,VLOOKUP(战斗模拟!$G20,装备!$A$2:$N$15,L$18,FALSE))+IF($H20=0,0,VLOOKUP(战斗模拟!$H20,装备!$A$2:$N$15,L$18,FALSE))</f>
        <v>76.800000000000011</v>
      </c>
      <c r="M20" s="48">
        <f>VLOOKUPS(英雄!$A$21:$Q$57,战斗模拟!$B20,1,$E20,4,英雄!I$20+3)+IF($F20=0,0,VLOOKUP(战斗模拟!$F20,装备!$A$2:$N$15,M$18,FALSE))+IF($G20=0,0,VLOOKUP(战斗模拟!$G20,装备!$A$2:$N$15,M$18,FALSE))+IF($H20=0,0,VLOOKUP(战斗模拟!$H20,装备!$A$2:$N$15,M$18,FALSE))</f>
        <v>76.800000000000011</v>
      </c>
      <c r="N20" s="48">
        <f>VLOOKUPS(英雄!$A$21:$Q$57,战斗模拟!$B20,1,$E20,4,英雄!J$20+3)+IF($F20=0,0,VLOOKUP(战斗模拟!$F20,装备!$A$2:$N$15,N$18,FALSE))+IF($G20=0,0,VLOOKUP(战斗模拟!$G20,装备!$A$2:$N$15,N$18,FALSE))+IF($H20=0,0,VLOOKUP(战斗模拟!$H20,装备!$A$2:$N$15,N$18,FALSE))</f>
        <v>0</v>
      </c>
      <c r="O20" s="48">
        <f>VLOOKUPS(英雄!$A$21:$Q$57,战斗模拟!$B20,1,$E20,4,英雄!K$20+3)+IF($F20=0,0,VLOOKUP(战斗模拟!$F20,装备!$A$2:$N$15,O$18,FALSE))+IF($G20=0,0,VLOOKUP(战斗模拟!$G20,装备!$A$2:$N$15,O$18,FALSE))+IF($H20=0,0,VLOOKUP(战斗模拟!$H20,装备!$A$2:$N$15,O$18,FALSE))</f>
        <v>0</v>
      </c>
      <c r="P20" s="48">
        <f>VLOOKUPS(英雄!$A$21:$Q$57,战斗模拟!$B20,1,$E20,4,英雄!L$20+3)*(1+IF($F20=0,0,VLOOKUP(战斗模拟!$F20,装备!$A$2:$N$15,P$18,FALSE)))*(1+IF($G20=0,0,VLOOKUP(战斗模拟!$G20,装备!$A$2:$N$15,P$18,FALSE)))*(1+IF($H20=0,0,VLOOKUP(战斗模拟!$H20,装备!$A$2:$N$15,P$18,FALSE)))</f>
        <v>1.1199999999999999</v>
      </c>
      <c r="Q20" s="48">
        <f>VLOOKUPS(英雄!$A$21:$Q$57,战斗模拟!$B20,1,$E20,4,英雄!M$20+3)+IF($F20=0,0,VLOOKUP(战斗模拟!$F20,装备!$A$2:$N$15,Q$18,FALSE))+IF($G20=0,0,VLOOKUP(战斗模拟!$G20,装备!$A$2:$N$15,Q$18,FALSE))+IF($H20=0,0,VLOOKUP(战斗模拟!$H20,装备!$A$2:$N$15,Q$18,FALSE))</f>
        <v>0</v>
      </c>
      <c r="R20" s="48">
        <f>VLOOKUPS(英雄!$A$21:$Q$57,战斗模拟!$B20,1,$E20,4,英雄!N$20+3)+IF($F20=0,0,VLOOKUP(战斗模拟!$F20,装备!$A$2:$N$15,R$18,FALSE))+IF($G20=0,0,VLOOKUP(战斗模拟!$G20,装备!$A$2:$N$15,R$18,FALSE))+IF($H20=0,0,VLOOKUP(战斗模拟!$H20,装备!$A$2:$N$15,R$18,FALSE))</f>
        <v>2</v>
      </c>
      <c r="S20" s="48">
        <f>VLOOKUPS(英雄!$A$21:$Q$57,战斗模拟!$B20,1,$E20,4,英雄!O$20+3)+IF($F20=0,0,VLOOKUP(战斗模拟!$F20,装备!$A$2:$N$15,S$18,FALSE))+IF($G20=0,0,VLOOKUP(战斗模拟!$G20,装备!$A$2:$N$15,S$18,FALSE))+IF($H20=0,0,VLOOKUP(战斗模拟!$H20,装备!$A$2:$N$15,S$18,FALSE))</f>
        <v>0.25</v>
      </c>
      <c r="T20" s="48">
        <f>VLOOKUPS(英雄!$A$21:$Q$57,战斗模拟!$B20,1,$E20,4,英雄!P$20+3)+IF($F20=0,0,VLOOKUP(战斗模拟!$F20,装备!$A$2:$N$15,T$18,FALSE))+IF($G20=0,0,VLOOKUP(战斗模拟!$G20,装备!$A$2:$N$15,T$18,FALSE))+IF($H20=0,0,VLOOKUP(战斗模拟!$H20,装备!$A$2:$N$15,T$18,FALSE))</f>
        <v>0.15</v>
      </c>
      <c r="U20" s="48">
        <f>VLOOKUPS(英雄!$A$21:$Q$57,战斗模拟!$B20,1,$E20,4,英雄!Q$20+3)+IF($F20=0,0,VLOOKUP(战斗模拟!$F20,装备!$A$2:$N$15,U$18,FALSE))+IF($G20=0,0,VLOOKUP(战斗模拟!$G20,装备!$A$2:$N$15,U$18,FALSE))+IF($H20=0,0,VLOOKUP(战斗模拟!$H20,装备!$A$2:$N$15,U$18,FALSE))</f>
        <v>0</v>
      </c>
    </row>
    <row r="21" spans="1:23" x14ac:dyDescent="0.15">
      <c r="A21" s="48" t="s">
        <v>185</v>
      </c>
      <c r="B21" s="48" t="str">
        <f t="shared" ref="B21:B24" si="3">A5</f>
        <v>科加斯</v>
      </c>
      <c r="C21" s="48" t="str">
        <f>VLOOKUP(B21,英雄!$R$1:$S$12,2,FALSE)</f>
        <v>魔法坦克</v>
      </c>
      <c r="D21" s="48">
        <f>VLOOKUP(C21,英雄!$A$10:$P$18,2,FALSE)</f>
        <v>1</v>
      </c>
      <c r="E21" s="48">
        <f t="shared" ref="E21:E24" si="4">B5</f>
        <v>2</v>
      </c>
      <c r="F21" s="48" t="str">
        <f t="shared" ref="F21:F24" si="5">C5</f>
        <v>负极斗篷</v>
      </c>
      <c r="G21" s="48" t="str">
        <f t="shared" ref="G21:G24" si="6">D5</f>
        <v>锁子甲</v>
      </c>
      <c r="H21" s="48" t="str">
        <f t="shared" ref="H21:H24" si="7">E5</f>
        <v>锁子甲</v>
      </c>
      <c r="I21" s="48">
        <f>VLOOKUPS(英雄!$A$21:$Q$57,战斗模拟!$B21,1,$E21,4,英雄!E$20+3)+IF($F21=0,0,VLOOKUP(战斗模拟!$F21,装备!$A$2:$N$15,I$18,FALSE))+IF($G21=0,0,VLOOKUP(战斗模拟!$G21,装备!$A$2:$N$15,I$18,FALSE))+IF($H21=0,0,VLOOKUP(战斗模拟!$H21,装备!$A$2:$N$15,I$18,FALSE))</f>
        <v>1125</v>
      </c>
      <c r="J21" s="48">
        <f>VLOOKUPS(英雄!$A$21:$Q$57,战斗模拟!$B21,1,$E21,4,英雄!F$20+3)+IF($F21=0,0,VLOOKUP(战斗模拟!$F21,装备!$A$2:$N$15,J$18,FALSE))+IF($G21=0,0,VLOOKUP(战斗模拟!$G21,装备!$A$2:$N$15,J$18,FALSE))+IF($H21=0,0,VLOOKUP(战斗模拟!$H21,装备!$A$2:$N$15,J$18,FALSE))</f>
        <v>137.5</v>
      </c>
      <c r="K21" s="48">
        <f>VLOOKUPS(英雄!$A$21:$Q$57,战斗模拟!$B21,1,$E21,4,英雄!G$20+3)+IF($F21=0,0,VLOOKUP(战斗模拟!$F21,装备!$A$2:$N$15,K$18,FALSE))+IF($G21=0,0,VLOOKUP(战斗模拟!$G21,装备!$A$2:$N$15,K$18,FALSE))+IF($H21=0,0,VLOOKUP(战斗模拟!$H21,装备!$A$2:$N$15,K$18,FALSE))</f>
        <v>162.5</v>
      </c>
      <c r="L21" s="48">
        <f>VLOOKUPS(英雄!$A$21:$Q$57,战斗模拟!$B21,1,$E21,4,英雄!H$20+3)+IF($F21=0,0,VLOOKUP(战斗模拟!$F21,装备!$A$2:$N$15,L$18,FALSE))+IF($G21=0,0,VLOOKUP(战斗模拟!$G21,装备!$A$2:$N$15,L$18,FALSE))+IF($H21=0,0,VLOOKUP(战斗模拟!$H21,装备!$A$2:$N$15,L$18,FALSE))</f>
        <v>72</v>
      </c>
      <c r="M21" s="48">
        <f>VLOOKUPS(英雄!$A$21:$Q$57,战斗模拟!$B21,1,$E21,4,英雄!I$20+3)+IF($F21=0,0,VLOOKUP(战斗模拟!$F21,装备!$A$2:$N$15,M$18,FALSE))+IF($G21=0,0,VLOOKUP(战斗模拟!$G21,装备!$A$2:$N$15,M$18,FALSE))+IF($H21=0,0,VLOOKUP(战斗模拟!$H21,装备!$A$2:$N$15,M$18,FALSE))</f>
        <v>72</v>
      </c>
      <c r="N21" s="48">
        <f>VLOOKUPS(英雄!$A$21:$Q$57,战斗模拟!$B21,1,$E21,4,英雄!J$20+3)+IF($F21=0,0,VLOOKUP(战斗模拟!$F21,装备!$A$2:$N$15,N$18,FALSE))+IF($G21=0,0,VLOOKUP(战斗模拟!$G21,装备!$A$2:$N$15,N$18,FALSE))+IF($H21=0,0,VLOOKUP(战斗模拟!$H21,装备!$A$2:$N$15,N$18,FALSE))</f>
        <v>0</v>
      </c>
      <c r="O21" s="48">
        <f>VLOOKUPS(英雄!$A$21:$Q$57,战斗模拟!$B21,1,$E21,4,英雄!K$20+3)+IF($F21=0,0,VLOOKUP(战斗模拟!$F21,装备!$A$2:$N$15,O$18,FALSE))+IF($G21=0,0,VLOOKUP(战斗模拟!$G21,装备!$A$2:$N$15,O$18,FALSE))+IF($H21=0,0,VLOOKUP(战斗模拟!$H21,装备!$A$2:$N$15,O$18,FALSE))</f>
        <v>0</v>
      </c>
      <c r="P21" s="48">
        <f>VLOOKUPS(英雄!$A$21:$Q$57,战斗模拟!$B21,1,$E21,4,英雄!L$20+3)*(1+IF($F21=0,0,VLOOKUP(战斗模拟!$F21,装备!$A$2:$N$15,P$18,FALSE)))*(1+IF($G21=0,0,VLOOKUP(战斗模拟!$G21,装备!$A$2:$N$15,P$18,FALSE)))*(1+IF($H21=0,0,VLOOKUP(战斗模拟!$H21,装备!$A$2:$N$15,P$18,FALSE)))</f>
        <v>1.0499999999999998</v>
      </c>
      <c r="Q21" s="48">
        <f>VLOOKUPS(英雄!$A$21:$Q$57,战斗模拟!$B21,1,$E21,4,英雄!M$20+3)+IF($F21=0,0,VLOOKUP(战斗模拟!$F21,装备!$A$2:$N$15,Q$18,FALSE))+IF($G21=0,0,VLOOKUP(战斗模拟!$G21,装备!$A$2:$N$15,Q$18,FALSE))+IF($H21=0,0,VLOOKUP(战斗模拟!$H21,装备!$A$2:$N$15,Q$18,FALSE))</f>
        <v>0</v>
      </c>
      <c r="R21" s="48">
        <f>VLOOKUPS(英雄!$A$21:$Q$57,战斗模拟!$B21,1,$E21,4,英雄!N$20+3)+IF($F21=0,0,VLOOKUP(战斗模拟!$F21,装备!$A$2:$N$15,R$18,FALSE))+IF($G21=0,0,VLOOKUP(战斗模拟!$G21,装备!$A$2:$N$15,R$18,FALSE))+IF($H21=0,0,VLOOKUP(战斗模拟!$H21,装备!$A$2:$N$15,R$18,FALSE))</f>
        <v>2</v>
      </c>
      <c r="S21" s="48">
        <f>VLOOKUPS(英雄!$A$21:$Q$57,战斗模拟!$B21,1,$E21,4,英雄!O$20+3)+IF($F21=0,0,VLOOKUP(战斗模拟!$F21,装备!$A$2:$N$15,S$18,FALSE))+IF($G21=0,0,VLOOKUP(战斗模拟!$G21,装备!$A$2:$N$15,S$18,FALSE))+IF($H21=0,0,VLOOKUP(战斗模拟!$H21,装备!$A$2:$N$15,S$18,FALSE))</f>
        <v>0</v>
      </c>
      <c r="T21" s="48">
        <f>VLOOKUPS(英雄!$A$21:$Q$57,战斗模拟!$B21,1,$E21,4,英雄!P$20+3)+IF($F21=0,0,VLOOKUP(战斗模拟!$F21,装备!$A$2:$N$15,T$18,FALSE))+IF($G21=0,0,VLOOKUP(战斗模拟!$G21,装备!$A$2:$N$15,T$18,FALSE))+IF($H21=0,0,VLOOKUP(战斗模拟!$H21,装备!$A$2:$N$15,T$18,FALSE))</f>
        <v>0</v>
      </c>
      <c r="U21" s="48">
        <f>VLOOKUPS(英雄!$A$21:$Q$57,战斗模拟!$B21,1,$E21,4,英雄!Q$20+3)+IF($F21=0,0,VLOOKUP(战斗模拟!$F21,装备!$A$2:$N$15,U$18,FALSE))+IF($G21=0,0,VLOOKUP(战斗模拟!$G21,装备!$A$2:$N$15,U$18,FALSE))+IF($H21=0,0,VLOOKUP(战斗模拟!$H21,装备!$A$2:$N$15,U$18,FALSE))</f>
        <v>0</v>
      </c>
    </row>
    <row r="22" spans="1:23" x14ac:dyDescent="0.15">
      <c r="A22" s="48" t="s">
        <v>186</v>
      </c>
      <c r="B22" s="48" t="str">
        <f t="shared" si="3"/>
        <v>辛吉德</v>
      </c>
      <c r="C22" s="48" t="str">
        <f>VLOOKUP(B22,英雄!$R$1:$S$12,2,FALSE)</f>
        <v>混合坦克</v>
      </c>
      <c r="D22" s="48">
        <f>VLOOKUP(C22,英雄!$A$10:$P$18,2,FALSE)</f>
        <v>1</v>
      </c>
      <c r="E22" s="48">
        <f t="shared" si="4"/>
        <v>3</v>
      </c>
      <c r="F22" s="48" t="str">
        <f t="shared" si="5"/>
        <v>无用大棒</v>
      </c>
      <c r="G22" s="48" t="str">
        <f t="shared" si="6"/>
        <v>凤凰之铠甲</v>
      </c>
      <c r="H22" s="48" t="str">
        <f t="shared" si="7"/>
        <v>凤凰之铠甲</v>
      </c>
      <c r="I22" s="48">
        <f>VLOOKUPS(英雄!$A$21:$Q$57,战斗模拟!$B22,1,$E22,4,英雄!E$20+3)+IF($F22=0,0,VLOOKUP(战斗模拟!$F22,装备!$A$2:$N$15,I$18,FALSE))+IF($G22=0,0,VLOOKUP(战斗模拟!$G22,装备!$A$2:$N$15,I$18,FALSE))+IF($H22=0,0,VLOOKUP(战斗模拟!$H22,装备!$A$2:$N$15,I$18,FALSE))</f>
        <v>1904</v>
      </c>
      <c r="J22" s="48">
        <f>VLOOKUPS(英雄!$A$21:$Q$57,战斗模拟!$B22,1,$E22,4,英雄!F$20+3)+IF($F22=0,0,VLOOKUP(战斗模拟!$F22,装备!$A$2:$N$15,J$18,FALSE))+IF($G22=0,0,VLOOKUP(战斗模拟!$G22,装备!$A$2:$N$15,J$18,FALSE))+IF($H22=0,0,VLOOKUP(战斗模拟!$H22,装备!$A$2:$N$15,J$18,FALSE))</f>
        <v>80</v>
      </c>
      <c r="K22" s="48">
        <f>VLOOKUPS(英雄!$A$21:$Q$57,战斗模拟!$B22,1,$E22,4,英雄!G$20+3)+IF($F22=0,0,VLOOKUP(战斗模拟!$F22,装备!$A$2:$N$15,K$18,FALSE))+IF($G22=0,0,VLOOKUP(战斗模拟!$G22,装备!$A$2:$N$15,K$18,FALSE))+IF($H22=0,0,VLOOKUP(战斗模拟!$H22,装备!$A$2:$N$15,K$18,FALSE))</f>
        <v>80</v>
      </c>
      <c r="L22" s="48">
        <f>VLOOKUPS(英雄!$A$21:$Q$57,战斗模拟!$B22,1,$E22,4,英雄!H$20+3)+IF($F22=0,0,VLOOKUP(战斗模拟!$F22,装备!$A$2:$N$15,L$18,FALSE))+IF($G22=0,0,VLOOKUP(战斗模拟!$G22,装备!$A$2:$N$15,L$18,FALSE))+IF($H22=0,0,VLOOKUP(战斗模拟!$H22,装备!$A$2:$N$15,L$18,FALSE))</f>
        <v>67.199999999999989</v>
      </c>
      <c r="M22" s="48">
        <f>VLOOKUPS(英雄!$A$21:$Q$57,战斗模拟!$B22,1,$E22,4,英雄!I$20+3)+IF($F22=0,0,VLOOKUP(战斗模拟!$F22,装备!$A$2:$N$15,M$18,FALSE))+IF($G22=0,0,VLOOKUP(战斗模拟!$G22,装备!$A$2:$N$15,M$18,FALSE))+IF($H22=0,0,VLOOKUP(战斗模拟!$H22,装备!$A$2:$N$15,M$18,FALSE))</f>
        <v>87.199999999999989</v>
      </c>
      <c r="N22" s="48">
        <f>VLOOKUPS(英雄!$A$21:$Q$57,战斗模拟!$B22,1,$E22,4,英雄!J$20+3)+IF($F22=0,0,VLOOKUP(战斗模拟!$F22,装备!$A$2:$N$15,N$18,FALSE))+IF($G22=0,0,VLOOKUP(战斗模拟!$G22,装备!$A$2:$N$15,N$18,FALSE))+IF($H22=0,0,VLOOKUP(战斗模拟!$H22,装备!$A$2:$N$15,N$18,FALSE))</f>
        <v>0</v>
      </c>
      <c r="O22" s="48">
        <f>VLOOKUPS(英雄!$A$21:$Q$57,战斗模拟!$B22,1,$E22,4,英雄!K$20+3)+IF($F22=0,0,VLOOKUP(战斗模拟!$F22,装备!$A$2:$N$15,O$18,FALSE))+IF($G22=0,0,VLOOKUP(战斗模拟!$G22,装备!$A$2:$N$15,O$18,FALSE))+IF($H22=0,0,VLOOKUP(战斗模拟!$H22,装备!$A$2:$N$15,O$18,FALSE))</f>
        <v>0</v>
      </c>
      <c r="P22" s="48">
        <f>VLOOKUPS(英雄!$A$21:$Q$57,战斗模拟!$B22,1,$E22,4,英雄!L$20+3)*(1+IF($F22=0,0,VLOOKUP(战斗模拟!$F22,装备!$A$2:$N$15,P$18,FALSE)))*(1+IF($G22=0,0,VLOOKUP(战斗模拟!$G22,装备!$A$2:$N$15,P$18,FALSE)))*(1+IF($H22=0,0,VLOOKUP(战斗模拟!$H22,装备!$A$2:$N$15,P$18,FALSE)))</f>
        <v>1.2800000000000002</v>
      </c>
      <c r="Q22" s="48">
        <f>VLOOKUPS(英雄!$A$21:$Q$57,战斗模拟!$B22,1,$E22,4,英雄!M$20+3)+IF($F22=0,0,VLOOKUP(战斗模拟!$F22,装备!$A$2:$N$15,Q$18,FALSE))+IF($G22=0,0,VLOOKUP(战斗模拟!$G22,装备!$A$2:$N$15,Q$18,FALSE))+IF($H22=0,0,VLOOKUP(战斗模拟!$H22,装备!$A$2:$N$15,Q$18,FALSE))</f>
        <v>0</v>
      </c>
      <c r="R22" s="48">
        <f>VLOOKUPS(英雄!$A$21:$Q$57,战斗模拟!$B22,1,$E22,4,英雄!N$20+3)+IF($F22=0,0,VLOOKUP(战斗模拟!$F22,装备!$A$2:$N$15,R$18,FALSE))+IF($G22=0,0,VLOOKUP(战斗模拟!$G22,装备!$A$2:$N$15,R$18,FALSE))+IF($H22=0,0,VLOOKUP(战斗模拟!$H22,装备!$A$2:$N$15,R$18,FALSE))</f>
        <v>2</v>
      </c>
      <c r="S22" s="48">
        <f>VLOOKUPS(英雄!$A$21:$Q$57,战斗模拟!$B22,1,$E22,4,英雄!O$20+3)+IF($F22=0,0,VLOOKUP(战斗模拟!$F22,装备!$A$2:$N$15,S$18,FALSE))+IF($G22=0,0,VLOOKUP(战斗模拟!$G22,装备!$A$2:$N$15,S$18,FALSE))+IF($H22=0,0,VLOOKUP(战斗模拟!$H22,装备!$A$2:$N$15,S$18,FALSE))</f>
        <v>0</v>
      </c>
      <c r="T22" s="48">
        <f>VLOOKUPS(英雄!$A$21:$Q$57,战斗模拟!$B22,1,$E22,4,英雄!P$20+3)+IF($F22=0,0,VLOOKUP(战斗模拟!$F22,装备!$A$2:$N$15,T$18,FALSE))+IF($G22=0,0,VLOOKUP(战斗模拟!$G22,装备!$A$2:$N$15,T$18,FALSE))+IF($H22=0,0,VLOOKUP(战斗模拟!$H22,装备!$A$2:$N$15,T$18,FALSE))</f>
        <v>0</v>
      </c>
      <c r="U22" s="48">
        <f>VLOOKUPS(英雄!$A$21:$Q$57,战斗模拟!$B22,1,$E22,4,英雄!Q$20+3)+IF($F22=0,0,VLOOKUP(战斗模拟!$F22,装备!$A$2:$N$15,U$18,FALSE))+IF($G22=0,0,VLOOKUP(战斗模拟!$G22,装备!$A$2:$N$15,U$18,FALSE))+IF($H22=0,0,VLOOKUP(战斗模拟!$H22,装备!$A$2:$N$15,U$18,FALSE))</f>
        <v>0</v>
      </c>
    </row>
    <row r="23" spans="1:23" x14ac:dyDescent="0.15">
      <c r="A23" s="48" t="s">
        <v>187</v>
      </c>
      <c r="B23" s="48" t="str">
        <f t="shared" si="3"/>
        <v>凯特琳</v>
      </c>
      <c r="C23" s="48" t="str">
        <f>VLOOKUP(B23,英雄!$R$1:$S$12,2,FALSE)</f>
        <v>射手</v>
      </c>
      <c r="D23" s="48">
        <f>VLOOKUP(C23,英雄!$A$10:$P$18,2,FALSE)</f>
        <v>0</v>
      </c>
      <c r="E23" s="48">
        <f t="shared" si="4"/>
        <v>2</v>
      </c>
      <c r="F23" s="48" t="str">
        <f t="shared" si="5"/>
        <v>巨人杀手</v>
      </c>
      <c r="G23" s="48" t="str">
        <f t="shared" si="6"/>
        <v>饮血剑</v>
      </c>
      <c r="H23" s="48" t="str">
        <f t="shared" si="7"/>
        <v>刺客的利爪</v>
      </c>
      <c r="I23" s="48">
        <f>VLOOKUPS(英雄!$A$21:$Q$57,战斗模拟!$B23,1,$E23,4,英雄!E$20+3)+IF($F23=0,0,VLOOKUP(战斗模拟!$F23,装备!$A$2:$N$15,I$18,FALSE))+IF($G23=0,0,VLOOKUP(战斗模拟!$G23,装备!$A$2:$N$15,I$18,FALSE))+IF($H23=0,0,VLOOKUP(战斗模拟!$H23,装备!$A$2:$N$15,I$18,FALSE))</f>
        <v>450</v>
      </c>
      <c r="J23" s="48">
        <f>VLOOKUPS(英雄!$A$21:$Q$57,战斗模拟!$B23,1,$E23,4,英雄!F$20+3)+IF($F23=0,0,VLOOKUP(战斗模拟!$F23,装备!$A$2:$N$15,J$18,FALSE))+IF($G23=0,0,VLOOKUP(战斗模拟!$G23,装备!$A$2:$N$15,J$18,FALSE))+IF($H23=0,0,VLOOKUP(战斗模拟!$H23,装备!$A$2:$N$15,J$18,FALSE))</f>
        <v>45</v>
      </c>
      <c r="K23" s="48">
        <f>VLOOKUPS(英雄!$A$21:$Q$57,战斗模拟!$B23,1,$E23,4,英雄!G$20+3)+IF($F23=0,0,VLOOKUP(战斗模拟!$F23,装备!$A$2:$N$15,K$18,FALSE))+IF($G23=0,0,VLOOKUP(战斗模拟!$G23,装备!$A$2:$N$15,K$18,FALSE))+IF($H23=0,0,VLOOKUP(战斗模拟!$H23,装备!$A$2:$N$15,K$18,FALSE))</f>
        <v>45</v>
      </c>
      <c r="L23" s="48">
        <f>VLOOKUPS(英雄!$A$21:$Q$57,战斗模拟!$B23,1,$E23,4,英雄!H$20+3)+IF($F23=0,0,VLOOKUP(战斗模拟!$F23,装备!$A$2:$N$15,L$18,FALSE))+IF($G23=0,0,VLOOKUP(战斗模拟!$G23,装备!$A$2:$N$15,L$18,FALSE))+IF($H23=0,0,VLOOKUP(战斗模拟!$H23,装备!$A$2:$N$15,L$18,FALSE))</f>
        <v>153</v>
      </c>
      <c r="M23" s="48">
        <f>VLOOKUPS(英雄!$A$21:$Q$57,战斗模拟!$B23,1,$E23,4,英雄!I$20+3)+IF($F23=0,0,VLOOKUP(战斗模拟!$F23,装备!$A$2:$N$15,M$18,FALSE))+IF($G23=0,0,VLOOKUP(战斗模拟!$G23,装备!$A$2:$N$15,M$18,FALSE))+IF($H23=0,0,VLOOKUP(战斗模拟!$H23,装备!$A$2:$N$15,M$18,FALSE))</f>
        <v>153</v>
      </c>
      <c r="N23" s="48">
        <f>VLOOKUPS(英雄!$A$21:$Q$57,战斗模拟!$B23,1,$E23,4,英雄!J$20+3)+IF($F23=0,0,VLOOKUP(战斗模拟!$F23,装备!$A$2:$N$15,N$18,FALSE))+IF($G23=0,0,VLOOKUP(战斗模拟!$G23,装备!$A$2:$N$15,N$18,FALSE))+IF($H23=0,0,VLOOKUP(战斗模拟!$H23,装备!$A$2:$N$15,N$18,FALSE))</f>
        <v>0.15</v>
      </c>
      <c r="O23" s="48">
        <f>VLOOKUPS(英雄!$A$21:$Q$57,战斗模拟!$B23,1,$E23,4,英雄!K$20+3)+IF($F23=0,0,VLOOKUP(战斗模拟!$F23,装备!$A$2:$N$15,O$18,FALSE))+IF($G23=0,0,VLOOKUP(战斗模拟!$G23,装备!$A$2:$N$15,O$18,FALSE))+IF($H23=0,0,VLOOKUP(战斗模拟!$H23,装备!$A$2:$N$15,O$18,FALSE))</f>
        <v>0</v>
      </c>
      <c r="P23" s="48">
        <f>VLOOKUPS(英雄!$A$21:$Q$57,战斗模拟!$B23,1,$E23,4,英雄!L$20+3)*(1+IF($F23=0,0,VLOOKUP(战斗模拟!$F23,装备!$A$2:$N$15,P$18,FALSE)))*(1+IF($G23=0,0,VLOOKUP(战斗模拟!$G23,装备!$A$2:$N$15,P$18,FALSE)))*(1+IF($H23=0,0,VLOOKUP(战斗模拟!$H23,装备!$A$2:$N$15,P$18,FALSE)))</f>
        <v>1.6500000000000001</v>
      </c>
      <c r="Q23" s="48">
        <f>VLOOKUPS(英雄!$A$21:$Q$57,战斗模拟!$B23,1,$E23,4,英雄!M$20+3)+IF($F23=0,0,VLOOKUP(战斗模拟!$F23,装备!$A$2:$N$15,Q$18,FALSE))+IF($G23=0,0,VLOOKUP(战斗模拟!$G23,装备!$A$2:$N$15,Q$18,FALSE))+IF($H23=0,0,VLOOKUP(战斗模拟!$H23,装备!$A$2:$N$15,Q$18,FALSE))</f>
        <v>0.3</v>
      </c>
      <c r="R23" s="48">
        <f>VLOOKUPS(英雄!$A$21:$Q$57,战斗模拟!$B23,1,$E23,4,英雄!N$20+3)+IF($F23=0,0,VLOOKUP(战斗模拟!$F23,装备!$A$2:$N$15,R$18,FALSE))+IF($G23=0,0,VLOOKUP(战斗模拟!$G23,装备!$A$2:$N$15,R$18,FALSE))+IF($H23=0,0,VLOOKUP(战斗模拟!$H23,装备!$A$2:$N$15,R$18,FALSE))</f>
        <v>2</v>
      </c>
      <c r="S23" s="48">
        <f>VLOOKUPS(英雄!$A$21:$Q$57,战斗模拟!$B23,1,$E23,4,英雄!O$20+3)+IF($F23=0,0,VLOOKUP(战斗模拟!$F23,装备!$A$2:$N$15,S$18,FALSE))+IF($G23=0,0,VLOOKUP(战斗模拟!$G23,装备!$A$2:$N$15,S$18,FALSE))+IF($H23=0,0,VLOOKUP(战斗模拟!$H23,装备!$A$2:$N$15,S$18,FALSE))</f>
        <v>0</v>
      </c>
      <c r="T23" s="48">
        <f>VLOOKUPS(英雄!$A$21:$Q$57,战斗模拟!$B23,1,$E23,4,英雄!P$20+3)+IF($F23=0,0,VLOOKUP(战斗模拟!$F23,装备!$A$2:$N$15,T$18,FALSE))+IF($G23=0,0,VLOOKUP(战斗模拟!$G23,装备!$A$2:$N$15,T$18,FALSE))+IF($H23=0,0,VLOOKUP(战斗模拟!$H23,装备!$A$2:$N$15,T$18,FALSE))</f>
        <v>0.15</v>
      </c>
      <c r="U23" s="48">
        <f>VLOOKUPS(英雄!$A$21:$Q$57,战斗模拟!$B23,1,$E23,4,英雄!Q$20+3)+IF($F23=0,0,VLOOKUP(战斗模拟!$F23,装备!$A$2:$N$15,U$18,FALSE))+IF($G23=0,0,VLOOKUP(战斗模拟!$G23,装备!$A$2:$N$15,U$18,FALSE))+IF($H23=0,0,VLOOKUP(战斗模拟!$H23,装备!$A$2:$N$15,U$18,FALSE))</f>
        <v>0</v>
      </c>
    </row>
    <row r="24" spans="1:23" x14ac:dyDescent="0.15">
      <c r="A24" s="48" t="s">
        <v>188</v>
      </c>
      <c r="B24" s="48" t="str">
        <f t="shared" si="3"/>
        <v>辛德拉</v>
      </c>
      <c r="C24" s="48" t="str">
        <f>VLOOKUP(B24,英雄!$R$1:$S$12,2,FALSE)</f>
        <v>法师</v>
      </c>
      <c r="D24" s="48">
        <f>VLOOKUP(C24,英雄!$A$10:$P$18,2,FALSE)</f>
        <v>1</v>
      </c>
      <c r="E24" s="48">
        <f t="shared" si="4"/>
        <v>2</v>
      </c>
      <c r="F24" s="48" t="str">
        <f t="shared" si="5"/>
        <v>无用大棒</v>
      </c>
      <c r="G24" s="48" t="str">
        <f t="shared" si="6"/>
        <v>虚空之镜</v>
      </c>
      <c r="H24" s="48" t="str">
        <f t="shared" si="7"/>
        <v>凤凰之铠甲</v>
      </c>
      <c r="I24" s="48">
        <f>VLOOKUPS(英雄!$A$21:$Q$57,战斗模拟!$B24,1,$E24,4,英雄!E$20+3)+IF($F24=0,0,VLOOKUP(战斗模拟!$F24,装备!$A$2:$N$15,I$18,FALSE))+IF($G24=0,0,VLOOKUP(战斗模拟!$G24,装备!$A$2:$N$15,I$18,FALSE))+IF($H24=0,0,VLOOKUP(战斗模拟!$H24,装备!$A$2:$N$15,I$18,FALSE))</f>
        <v>850</v>
      </c>
      <c r="J24" s="48">
        <f>VLOOKUPS(英雄!$A$21:$Q$57,战斗模拟!$B24,1,$E24,4,英雄!F$20+3)+IF($F24=0,0,VLOOKUP(战斗模拟!$F24,装备!$A$2:$N$15,J$18,FALSE))+IF($G24=0,0,VLOOKUP(战斗模拟!$G24,装备!$A$2:$N$15,J$18,FALSE))+IF($H24=0,0,VLOOKUP(战斗模拟!$H24,装备!$A$2:$N$15,J$18,FALSE))</f>
        <v>45</v>
      </c>
      <c r="K24" s="48">
        <f>VLOOKUPS(英雄!$A$21:$Q$57,战斗模拟!$B24,1,$E24,4,英雄!G$20+3)+IF($F24=0,0,VLOOKUP(战斗模拟!$F24,装备!$A$2:$N$15,K$18,FALSE))+IF($G24=0,0,VLOOKUP(战斗模拟!$G24,装备!$A$2:$N$15,K$18,FALSE))+IF($H24=0,0,VLOOKUP(战斗模拟!$H24,装备!$A$2:$N$15,K$18,FALSE))</f>
        <v>45</v>
      </c>
      <c r="L24" s="48">
        <f>VLOOKUPS(英雄!$A$21:$Q$57,战斗模拟!$B24,1,$E24,4,英雄!H$20+3)+IF($F24=0,0,VLOOKUP(战斗模拟!$F24,装备!$A$2:$N$15,L$18,FALSE))+IF($G24=0,0,VLOOKUP(战斗模拟!$G24,装备!$A$2:$N$15,L$18,FALSE))+IF($H24=0,0,VLOOKUP(战斗模拟!$H24,装备!$A$2:$N$15,L$18,FALSE))</f>
        <v>153</v>
      </c>
      <c r="M24" s="48">
        <f>VLOOKUPS(英雄!$A$21:$Q$57,战斗模拟!$B24,1,$E24,4,英雄!I$20+3)+IF($F24=0,0,VLOOKUP(战斗模拟!$F24,装备!$A$2:$N$15,M$18,FALSE))+IF($G24=0,0,VLOOKUP(战斗模拟!$G24,装备!$A$2:$N$15,M$18,FALSE))+IF($H24=0,0,VLOOKUP(战斗模拟!$H24,装备!$A$2:$N$15,M$18,FALSE))</f>
        <v>173</v>
      </c>
      <c r="N24" s="48">
        <f>VLOOKUPS(英雄!$A$21:$Q$57,战斗模拟!$B24,1,$E24,4,英雄!J$20+3)+IF($F24=0,0,VLOOKUP(战斗模拟!$F24,装备!$A$2:$N$15,N$18,FALSE))+IF($G24=0,0,VLOOKUP(战斗模拟!$G24,装备!$A$2:$N$15,N$18,FALSE))+IF($H24=0,0,VLOOKUP(战斗模拟!$H24,装备!$A$2:$N$15,N$18,FALSE))</f>
        <v>0</v>
      </c>
      <c r="O24" s="48">
        <f>VLOOKUPS(英雄!$A$21:$Q$57,战斗模拟!$B24,1,$E24,4,英雄!K$20+3)+IF($F24=0,0,VLOOKUP(战斗模拟!$F24,装备!$A$2:$N$15,O$18,FALSE))+IF($G24=0,0,VLOOKUP(战斗模拟!$G24,装备!$A$2:$N$15,O$18,FALSE))+IF($H24=0,0,VLOOKUP(战斗模拟!$H24,装备!$A$2:$N$15,O$18,FALSE))</f>
        <v>0.15</v>
      </c>
      <c r="P24" s="48">
        <f>VLOOKUPS(英雄!$A$21:$Q$57,战斗模拟!$B24,1,$E24,4,英雄!L$20+3)*(1+IF($F24=0,0,VLOOKUP(战斗模拟!$F24,装备!$A$2:$N$15,P$18,FALSE)))*(1+IF($G24=0,0,VLOOKUP(战斗模拟!$G24,装备!$A$2:$N$15,P$18,FALSE)))*(1+IF($H24=0,0,VLOOKUP(战斗模拟!$H24,装备!$A$2:$N$15,P$18,FALSE)))</f>
        <v>1.6500000000000001</v>
      </c>
      <c r="Q24" s="48">
        <f>VLOOKUPS(英雄!$A$21:$Q$57,战斗模拟!$B24,1,$E24,4,英雄!M$20+3)+IF($F24=0,0,VLOOKUP(战斗模拟!$F24,装备!$A$2:$N$15,Q$18,FALSE))+IF($G24=0,0,VLOOKUP(战斗模拟!$G24,装备!$A$2:$N$15,Q$18,FALSE))+IF($H24=0,0,VLOOKUP(战斗模拟!$H24,装备!$A$2:$N$15,Q$18,FALSE))</f>
        <v>0</v>
      </c>
      <c r="R24" s="48">
        <f>VLOOKUPS(英雄!$A$21:$Q$57,战斗模拟!$B24,1,$E24,4,英雄!N$20+3)+IF($F24=0,0,VLOOKUP(战斗模拟!$F24,装备!$A$2:$N$15,R$18,FALSE))+IF($G24=0,0,VLOOKUP(战斗模拟!$G24,装备!$A$2:$N$15,R$18,FALSE))+IF($H24=0,0,VLOOKUP(战斗模拟!$H24,装备!$A$2:$N$15,R$18,FALSE))</f>
        <v>2</v>
      </c>
      <c r="S24" s="48">
        <f>VLOOKUPS(英雄!$A$21:$Q$57,战斗模拟!$B24,1,$E24,4,英雄!O$20+3)+IF($F24=0,0,VLOOKUP(战斗模拟!$F24,装备!$A$2:$N$15,S$18,FALSE))+IF($G24=0,0,VLOOKUP(战斗模拟!$G24,装备!$A$2:$N$15,S$18,FALSE))+IF($H24=0,0,VLOOKUP(战斗模拟!$H24,装备!$A$2:$N$15,S$18,FALSE))</f>
        <v>0</v>
      </c>
      <c r="T24" s="48">
        <f>VLOOKUPS(英雄!$A$21:$Q$57,战斗模拟!$B24,1,$E24,4,英雄!P$20+3)+IF($F24=0,0,VLOOKUP(战斗模拟!$F24,装备!$A$2:$N$15,T$18,FALSE))+IF($G24=0,0,VLOOKUP(战斗模拟!$G24,装备!$A$2:$N$15,T$18,FALSE))+IF($H24=0,0,VLOOKUP(战斗模拟!$H24,装备!$A$2:$N$15,T$18,FALSE))</f>
        <v>0</v>
      </c>
      <c r="U24" s="48">
        <f>VLOOKUPS(英雄!$A$21:$Q$57,战斗模拟!$B24,1,$E24,4,英雄!Q$20+3)+IF($F24=0,0,VLOOKUP(战斗模拟!$F24,装备!$A$2:$N$15,U$18,FALSE))+IF($G24=0,0,VLOOKUP(战斗模拟!$G24,装备!$A$2:$N$15,U$18,FALSE))+IF($H24=0,0,VLOOKUP(战斗模拟!$H24,装备!$A$2:$N$15,U$18,FALSE))</f>
        <v>0</v>
      </c>
    </row>
    <row r="26" spans="1:23" x14ac:dyDescent="0.15">
      <c r="A26" s="42" t="s">
        <v>54</v>
      </c>
      <c r="B26" s="42" t="s">
        <v>189</v>
      </c>
      <c r="C26" s="42" t="s">
        <v>133</v>
      </c>
      <c r="D26" s="42" t="s">
        <v>134</v>
      </c>
      <c r="E26" s="42" t="s">
        <v>110</v>
      </c>
      <c r="F26" s="42" t="s">
        <v>173</v>
      </c>
      <c r="G26" s="42" t="s">
        <v>174</v>
      </c>
      <c r="H26" s="42" t="s">
        <v>175</v>
      </c>
      <c r="I26" s="42" t="s">
        <v>99</v>
      </c>
      <c r="J26" s="42" t="s">
        <v>15</v>
      </c>
      <c r="K26" s="42" t="s">
        <v>14</v>
      </c>
      <c r="L26" s="42" t="s">
        <v>13</v>
      </c>
      <c r="M26" s="42" t="s">
        <v>37</v>
      </c>
      <c r="N26" s="42" t="s">
        <v>1</v>
      </c>
      <c r="O26" s="42" t="s">
        <v>41</v>
      </c>
      <c r="P26" s="42" t="s">
        <v>2</v>
      </c>
      <c r="Q26" s="42" t="s">
        <v>3</v>
      </c>
      <c r="R26" s="42" t="s">
        <v>4</v>
      </c>
      <c r="S26" s="42" t="s">
        <v>18</v>
      </c>
      <c r="T26" s="42" t="s">
        <v>44</v>
      </c>
      <c r="U26" s="42" t="s">
        <v>43</v>
      </c>
    </row>
    <row r="27" spans="1:23" x14ac:dyDescent="0.15">
      <c r="A27" s="34" t="s">
        <v>184</v>
      </c>
      <c r="B27" s="34" t="str">
        <f>N4</f>
        <v>贾克斯</v>
      </c>
      <c r="C27" s="34" t="str">
        <f>VLOOKUP(B27,英雄!$R$1:$S$12,2,FALSE)</f>
        <v>狂战士</v>
      </c>
      <c r="D27" s="34">
        <f>VLOOKUP(C27,英雄!$A$10:$P$18,2,FALSE)</f>
        <v>0</v>
      </c>
      <c r="E27" s="34">
        <f t="shared" ref="E27:H31" si="8">O4</f>
        <v>3</v>
      </c>
      <c r="F27" s="34" t="str">
        <f t="shared" si="8"/>
        <v>凤凰之铠甲</v>
      </c>
      <c r="G27" s="34" t="str">
        <f t="shared" si="8"/>
        <v>凤凰之铠甲</v>
      </c>
      <c r="H27" s="34" t="str">
        <f>R4</f>
        <v>凤凰之铠甲</v>
      </c>
      <c r="I27" s="34">
        <f>VLOOKUPS(英雄!$A$21:$Q$57,战斗模拟!$B27,1,$E27,4,英雄!E$20+3)+IF($F27=0,0,VLOOKUP(战斗模拟!$F27,装备!$A$2:$N$15,I$18,FALSE))+IF($G27=0,0,VLOOKUP(战斗模拟!$G27,装备!$A$2:$N$15,I$18,FALSE))+IF($H27=0,0,VLOOKUP(战斗模拟!$H27,装备!$A$2:$N$15,I$18,FALSE))</f>
        <v>1968</v>
      </c>
      <c r="J27" s="34">
        <f>VLOOKUPS(英雄!$A$21:$Q$57,战斗模拟!$B27,1,$E27,4,英雄!F$20+3)+IF($F27=0,0,VLOOKUP(战斗模拟!$F27,装备!$A$2:$N$15,J$18,FALSE))+IF($G27=0,0,VLOOKUP(战斗模拟!$G27,装备!$A$2:$N$15,J$18,FALSE))+IF($H27=0,0,VLOOKUP(战斗模拟!$H27,装备!$A$2:$N$15,J$18,FALSE))</f>
        <v>64</v>
      </c>
      <c r="K27" s="34">
        <f>VLOOKUPS(英雄!$A$21:$Q$57,战斗模拟!$B27,1,$E27,4,英雄!G$20+3)+IF($F27=0,0,VLOOKUP(战斗模拟!$F27,装备!$A$2:$N$15,K$18,FALSE))+IF($G27=0,0,VLOOKUP(战斗模拟!$G27,装备!$A$2:$N$15,K$18,FALSE))+IF($H27=0,0,VLOOKUP(战斗模拟!$H27,装备!$A$2:$N$15,K$18,FALSE))</f>
        <v>64</v>
      </c>
      <c r="L27" s="34">
        <f>VLOOKUPS(英雄!$A$21:$Q$57,战斗模拟!$B27,1,$E27,4,英雄!H$20+3)+IF($F27=0,0,VLOOKUP(战斗模拟!$F27,装备!$A$2:$N$15,L$18,FALSE))+IF($G27=0,0,VLOOKUP(战斗模拟!$G27,装备!$A$2:$N$15,L$18,FALSE))+IF($H27=0,0,VLOOKUP(战斗模拟!$H27,装备!$A$2:$N$15,L$18,FALSE))</f>
        <v>115.19999999999999</v>
      </c>
      <c r="M27" s="34">
        <f>VLOOKUPS(英雄!$A$21:$Q$57,战斗模拟!$B27,1,$E27,4,英雄!I$20+3)+IF($F27=0,0,VLOOKUP(战斗模拟!$F27,装备!$A$2:$N$15,M$18,FALSE))+IF($G27=0,0,VLOOKUP(战斗模拟!$G27,装备!$A$2:$N$15,M$18,FALSE))+IF($H27=0,0,VLOOKUP(战斗模拟!$H27,装备!$A$2:$N$15,M$18,FALSE))</f>
        <v>115.19999999999999</v>
      </c>
      <c r="N27" s="34">
        <f>VLOOKUPS(英雄!$A$21:$Q$57,战斗模拟!$B27,1,$E27,4,英雄!J$20+3)+IF($F27=0,0,VLOOKUP(战斗模拟!$F27,装备!$A$2:$N$15,N$18,FALSE))+IF($G27=0,0,VLOOKUP(战斗模拟!$G27,装备!$A$2:$N$15,N$18,FALSE))+IF($H27=0,0,VLOOKUP(战斗模拟!$H27,装备!$A$2:$N$15,N$18,FALSE))</f>
        <v>0</v>
      </c>
      <c r="O27" s="34">
        <f>VLOOKUPS(英雄!$A$21:$Q$57,战斗模拟!$B27,1,$E27,4,英雄!K$20+3)+IF($F27=0,0,VLOOKUP(战斗模拟!$F27,装备!$A$2:$N$15,O$18,FALSE))+IF($G27=0,0,VLOOKUP(战斗模拟!$G27,装备!$A$2:$N$15,O$18,FALSE))+IF($H27=0,0,VLOOKUP(战斗模拟!$H27,装备!$A$2:$N$15,O$18,FALSE))</f>
        <v>0</v>
      </c>
      <c r="P27" s="34">
        <f>VLOOKUPS(英雄!$A$21:$Q$57,战斗模拟!$B27,1,$E27,4,英雄!L$20+3)*(1+IF($F27=0,0,VLOOKUP(战斗模拟!$F27,装备!$A$2:$N$15,P$18,FALSE)))*(1+IF($G27=0,0,VLOOKUP(战斗模拟!$G27,装备!$A$2:$N$15,P$18,FALSE)))*(1+IF($H27=0,0,VLOOKUP(战斗模拟!$H27,装备!$A$2:$N$15,P$18,FALSE)))</f>
        <v>1.6</v>
      </c>
      <c r="Q27" s="34">
        <f>VLOOKUPS(英雄!$A$21:$Q$57,战斗模拟!$B27,1,$E27,4,英雄!M$20+3)+IF($F27=0,0,VLOOKUP(战斗模拟!$F27,装备!$A$2:$N$15,Q$18,FALSE))+IF($G27=0,0,VLOOKUP(战斗模拟!$G27,装备!$A$2:$N$15,Q$18,FALSE))+IF($H27=0,0,VLOOKUP(战斗模拟!$H27,装备!$A$2:$N$15,Q$18,FALSE))</f>
        <v>0</v>
      </c>
      <c r="R27" s="34">
        <f>VLOOKUPS(英雄!$A$21:$Q$57,战斗模拟!$B27,1,$E27,4,英雄!N$20+3)+IF($F27=0,0,VLOOKUP(战斗模拟!$F27,装备!$A$2:$N$15,R$18,FALSE))+IF($G27=0,0,VLOOKUP(战斗模拟!$G27,装备!$A$2:$N$15,R$18,FALSE))+IF($H27=0,0,VLOOKUP(战斗模拟!$H27,装备!$A$2:$N$15,R$18,FALSE))</f>
        <v>2</v>
      </c>
      <c r="S27" s="34">
        <f>VLOOKUPS(英雄!$A$21:$Q$57,战斗模拟!$B27,1,$E27,4,英雄!O$20+3)+IF($F27=0,0,VLOOKUP(战斗模拟!$F27,装备!$A$2:$N$15,S$18,FALSE))+IF($G27=0,0,VLOOKUP(战斗模拟!$G27,装备!$A$2:$N$15,S$18,FALSE))+IF($H27=0,0,VLOOKUP(战斗模拟!$H27,装备!$A$2:$N$15,S$18,FALSE))</f>
        <v>0</v>
      </c>
      <c r="T27" s="34">
        <f>VLOOKUPS(英雄!$A$21:$Q$57,战斗模拟!$B27,1,$E27,4,英雄!P$20+3)+IF($F27=0,0,VLOOKUP(战斗模拟!$F27,装备!$A$2:$N$15,T$18,FALSE))+IF($G27=0,0,VLOOKUP(战斗模拟!$G27,装备!$A$2:$N$15,T$18,FALSE))+IF($H27=0,0,VLOOKUP(战斗模拟!$H27,装备!$A$2:$N$15,T$18,FALSE))</f>
        <v>0.1</v>
      </c>
      <c r="U27" s="34">
        <f>VLOOKUPS(英雄!$A$21:$Q$57,战斗模拟!$B27,1,$E27,4,英雄!Q$20+3)+IF($F27=0,0,VLOOKUP(战斗模拟!$F27,装备!$A$2:$N$15,U$18,FALSE))+IF($G27=0,0,VLOOKUP(战斗模拟!$G27,装备!$A$2:$N$15,U$18,FALSE))+IF($H27=0,0,VLOOKUP(战斗模拟!$H27,装备!$A$2:$N$15,U$18,FALSE))</f>
        <v>0</v>
      </c>
    </row>
    <row r="28" spans="1:23" x14ac:dyDescent="0.15">
      <c r="A28" s="34" t="s">
        <v>185</v>
      </c>
      <c r="B28" s="34" t="str">
        <f>N5</f>
        <v>墨菲特</v>
      </c>
      <c r="C28" s="34" t="str">
        <f>VLOOKUP(B28,英雄!$R$1:$S$12,2,FALSE)</f>
        <v>物理坦克</v>
      </c>
      <c r="D28" s="34">
        <f>VLOOKUP(C28,英雄!$A$10:$P$18,2,FALSE)</f>
        <v>0</v>
      </c>
      <c r="E28" s="34">
        <f>O5</f>
        <v>3</v>
      </c>
      <c r="F28" s="34" t="str">
        <f t="shared" si="8"/>
        <v>凤凰之铠甲</v>
      </c>
      <c r="G28" s="34" t="str">
        <f t="shared" si="8"/>
        <v>负极斗篷</v>
      </c>
      <c r="H28" s="34" t="str">
        <f>R5</f>
        <v>负极斗篷</v>
      </c>
      <c r="I28" s="34">
        <f>VLOOKUPS(英雄!$A$21:$Q$57,战斗模拟!$B28,1,$E28,4,英雄!E$20+3)+IF($F28=0,0,VLOOKUP(战斗模拟!$F28,装备!$A$2:$N$15,I$18,FALSE))+IF($G28=0,0,VLOOKUP(战斗模拟!$G28,装备!$A$2:$N$15,I$18,FALSE))+IF($H28=0,0,VLOOKUP(战斗模拟!$H28,装备!$A$2:$N$15,I$18,FALSE))</f>
        <v>1600</v>
      </c>
      <c r="J28" s="34">
        <f>VLOOKUPS(英雄!$A$21:$Q$57,战斗模拟!$B28,1,$E28,4,英雄!F$20+3)+IF($F28=0,0,VLOOKUP(战斗模拟!$F28,装备!$A$2:$N$15,J$18,FALSE))+IF($G28=0,0,VLOOKUP(战斗模拟!$G28,装备!$A$2:$N$15,J$18,FALSE))+IF($H28=0,0,VLOOKUP(战斗模拟!$H28,装备!$A$2:$N$15,J$18,FALSE))</f>
        <v>120</v>
      </c>
      <c r="K28" s="34">
        <f>VLOOKUPS(英雄!$A$21:$Q$57,战斗模拟!$B28,1,$E28,4,英雄!G$20+3)+IF($F28=0,0,VLOOKUP(战斗模拟!$F28,装备!$A$2:$N$15,K$18,FALSE))+IF($G28=0,0,VLOOKUP(战斗模拟!$G28,装备!$A$2:$N$15,K$18,FALSE))+IF($H28=0,0,VLOOKUP(战斗模拟!$H28,装备!$A$2:$N$15,K$18,FALSE))</f>
        <v>140</v>
      </c>
      <c r="L28" s="34">
        <f>VLOOKUPS(英雄!$A$21:$Q$57,战斗模拟!$B28,1,$E28,4,英雄!H$20+3)+IF($F28=0,0,VLOOKUP(战斗模拟!$F28,装备!$A$2:$N$15,L$18,FALSE))+IF($G28=0,0,VLOOKUP(战斗模拟!$G28,装备!$A$2:$N$15,L$18,FALSE))+IF($H28=0,0,VLOOKUP(战斗模拟!$H28,装备!$A$2:$N$15,L$18,FALSE))</f>
        <v>76.800000000000011</v>
      </c>
      <c r="M28" s="34">
        <f>VLOOKUPS(英雄!$A$21:$Q$57,战斗模拟!$B28,1,$E28,4,英雄!I$20+3)+IF($F28=0,0,VLOOKUP(战斗模拟!$F28,装备!$A$2:$N$15,M$18,FALSE))+IF($G28=0,0,VLOOKUP(战斗模拟!$G28,装备!$A$2:$N$15,M$18,FALSE))+IF($H28=0,0,VLOOKUP(战斗模拟!$H28,装备!$A$2:$N$15,M$18,FALSE))</f>
        <v>76.800000000000011</v>
      </c>
      <c r="N28" s="34">
        <f>VLOOKUPS(英雄!$A$21:$Q$57,战斗模拟!$B28,1,$E28,4,英雄!J$20+3)+IF($F28=0,0,VLOOKUP(战斗模拟!$F28,装备!$A$2:$N$15,N$18,FALSE))+IF($G28=0,0,VLOOKUP(战斗模拟!$G28,装备!$A$2:$N$15,N$18,FALSE))+IF($H28=0,0,VLOOKUP(战斗模拟!$H28,装备!$A$2:$N$15,N$18,FALSE))</f>
        <v>0</v>
      </c>
      <c r="O28" s="34">
        <f>VLOOKUPS(英雄!$A$21:$Q$57,战斗模拟!$B28,1,$E28,4,英雄!K$20+3)+IF($F28=0,0,VLOOKUP(战斗模拟!$F28,装备!$A$2:$N$15,O$18,FALSE))+IF($G28=0,0,VLOOKUP(战斗模拟!$G28,装备!$A$2:$N$15,O$18,FALSE))+IF($H28=0,0,VLOOKUP(战斗模拟!$H28,装备!$A$2:$N$15,O$18,FALSE))</f>
        <v>0</v>
      </c>
      <c r="P28" s="34">
        <f>VLOOKUPS(英雄!$A$21:$Q$57,战斗模拟!$B28,1,$E28,4,英雄!L$20+3)*(1+IF($F28=0,0,VLOOKUP(战斗模拟!$F28,装备!$A$2:$N$15,P$18,FALSE)))*(1+IF($G28=0,0,VLOOKUP(战斗模拟!$G28,装备!$A$2:$N$15,P$18,FALSE)))*(1+IF($H28=0,0,VLOOKUP(战斗模拟!$H28,装备!$A$2:$N$15,P$18,FALSE)))</f>
        <v>1.1199999999999999</v>
      </c>
      <c r="Q28" s="34">
        <f>VLOOKUPS(英雄!$A$21:$Q$57,战斗模拟!$B28,1,$E28,4,英雄!M$20+3)+IF($F28=0,0,VLOOKUP(战斗模拟!$F28,装备!$A$2:$N$15,Q$18,FALSE))+IF($G28=0,0,VLOOKUP(战斗模拟!$G28,装备!$A$2:$N$15,Q$18,FALSE))+IF($H28=0,0,VLOOKUP(战斗模拟!$H28,装备!$A$2:$N$15,Q$18,FALSE))</f>
        <v>0</v>
      </c>
      <c r="R28" s="34">
        <f>VLOOKUPS(英雄!$A$21:$Q$57,战斗模拟!$B28,1,$E28,4,英雄!N$20+3)+IF($F28=0,0,VLOOKUP(战斗模拟!$F28,装备!$A$2:$N$15,R$18,FALSE))+IF($G28=0,0,VLOOKUP(战斗模拟!$G28,装备!$A$2:$N$15,R$18,FALSE))+IF($H28=0,0,VLOOKUP(战斗模拟!$H28,装备!$A$2:$N$15,R$18,FALSE))</f>
        <v>2</v>
      </c>
      <c r="S28" s="34">
        <f>VLOOKUPS(英雄!$A$21:$Q$57,战斗模拟!$B28,1,$E28,4,英雄!O$20+3)+IF($F28=0,0,VLOOKUP(战斗模拟!$F28,装备!$A$2:$N$15,S$18,FALSE))+IF($G28=0,0,VLOOKUP(战斗模拟!$G28,装备!$A$2:$N$15,S$18,FALSE))+IF($H28=0,0,VLOOKUP(战斗模拟!$H28,装备!$A$2:$N$15,S$18,FALSE))</f>
        <v>0</v>
      </c>
      <c r="T28" s="34">
        <f>VLOOKUPS(英雄!$A$21:$Q$57,战斗模拟!$B28,1,$E28,4,英雄!P$20+3)+IF($F28=0,0,VLOOKUP(战斗模拟!$F28,装备!$A$2:$N$15,T$18,FALSE))+IF($G28=0,0,VLOOKUP(战斗模拟!$G28,装备!$A$2:$N$15,T$18,FALSE))+IF($H28=0,0,VLOOKUP(战斗模拟!$H28,装备!$A$2:$N$15,T$18,FALSE))</f>
        <v>0</v>
      </c>
      <c r="U28" s="34">
        <f>VLOOKUPS(英雄!$A$21:$Q$57,战斗模拟!$B28,1,$E28,4,英雄!Q$20+3)+IF($F28=0,0,VLOOKUP(战斗模拟!$F28,装备!$A$2:$N$15,U$18,FALSE))+IF($G28=0,0,VLOOKUP(战斗模拟!$G28,装备!$A$2:$N$15,U$18,FALSE))+IF($H28=0,0,VLOOKUP(战斗模拟!$H28,装备!$A$2:$N$15,U$18,FALSE))</f>
        <v>0</v>
      </c>
    </row>
    <row r="29" spans="1:23" x14ac:dyDescent="0.15">
      <c r="A29" s="34" t="s">
        <v>186</v>
      </c>
      <c r="B29" s="34" t="str">
        <f>N6</f>
        <v>科加斯</v>
      </c>
      <c r="C29" s="34" t="str">
        <f>VLOOKUP(B29,英雄!$R$1:$S$12,2,FALSE)</f>
        <v>魔法坦克</v>
      </c>
      <c r="D29" s="34">
        <f>VLOOKUP(C29,英雄!$A$10:$P$18,2,FALSE)</f>
        <v>1</v>
      </c>
      <c r="E29" s="34">
        <f t="shared" si="8"/>
        <v>3</v>
      </c>
      <c r="F29" s="34" t="str">
        <f t="shared" si="8"/>
        <v>锁子甲</v>
      </c>
      <c r="G29" s="34" t="str">
        <f t="shared" si="8"/>
        <v>锁子甲</v>
      </c>
      <c r="H29" s="34" t="str">
        <f t="shared" si="8"/>
        <v>凤凰之铠甲</v>
      </c>
      <c r="I29" s="34">
        <f>VLOOKUPS(英雄!$A$21:$Q$57,战斗模拟!$B29,1,$E29,4,英雄!E$20+3)+IF($F29=0,0,VLOOKUP(战斗模拟!$F29,装备!$A$2:$N$15,I$18,FALSE))+IF($G29=0,0,VLOOKUP(战斗模拟!$G29,装备!$A$2:$N$15,I$18,FALSE))+IF($H29=0,0,VLOOKUP(战斗模拟!$H29,装备!$A$2:$N$15,I$18,FALSE))</f>
        <v>1600</v>
      </c>
      <c r="J29" s="34">
        <f>VLOOKUPS(英雄!$A$21:$Q$57,战斗模拟!$B29,1,$E29,4,英雄!F$20+3)+IF($F29=0,0,VLOOKUP(战斗模拟!$F29,装备!$A$2:$N$15,J$18,FALSE))+IF($G29=0,0,VLOOKUP(战斗模拟!$G29,装备!$A$2:$N$15,J$18,FALSE))+IF($H29=0,0,VLOOKUP(战斗模拟!$H29,装备!$A$2:$N$15,J$18,FALSE))</f>
        <v>140</v>
      </c>
      <c r="K29" s="34">
        <f>VLOOKUPS(英雄!$A$21:$Q$57,战斗模拟!$B29,1,$E29,4,英雄!G$20+3)+IF($F29=0,0,VLOOKUP(战斗模拟!$F29,装备!$A$2:$N$15,K$18,FALSE))+IF($G29=0,0,VLOOKUP(战斗模拟!$G29,装备!$A$2:$N$15,K$18,FALSE))+IF($H29=0,0,VLOOKUP(战斗模拟!$H29,装备!$A$2:$N$15,K$18,FALSE))</f>
        <v>120</v>
      </c>
      <c r="L29" s="34">
        <f>VLOOKUPS(英雄!$A$21:$Q$57,战斗模拟!$B29,1,$E29,4,英雄!H$20+3)+IF($F29=0,0,VLOOKUP(战斗模拟!$F29,装备!$A$2:$N$15,L$18,FALSE))+IF($G29=0,0,VLOOKUP(战斗模拟!$G29,装备!$A$2:$N$15,L$18,FALSE))+IF($H29=0,0,VLOOKUP(战斗模拟!$H29,装备!$A$2:$N$15,L$18,FALSE))</f>
        <v>76.800000000000011</v>
      </c>
      <c r="M29" s="34">
        <f>VLOOKUPS(英雄!$A$21:$Q$57,战斗模拟!$B29,1,$E29,4,英雄!I$20+3)+IF($F29=0,0,VLOOKUP(战斗模拟!$F29,装备!$A$2:$N$15,M$18,FALSE))+IF($G29=0,0,VLOOKUP(战斗模拟!$G29,装备!$A$2:$N$15,M$18,FALSE))+IF($H29=0,0,VLOOKUP(战斗模拟!$H29,装备!$A$2:$N$15,M$18,FALSE))</f>
        <v>76.800000000000011</v>
      </c>
      <c r="N29" s="34">
        <f>VLOOKUPS(英雄!$A$21:$Q$57,战斗模拟!$B29,1,$E29,4,英雄!J$20+3)+IF($F29=0,0,VLOOKUP(战斗模拟!$F29,装备!$A$2:$N$15,N$18,FALSE))+IF($G29=0,0,VLOOKUP(战斗模拟!$G29,装备!$A$2:$N$15,N$18,FALSE))+IF($H29=0,0,VLOOKUP(战斗模拟!$H29,装备!$A$2:$N$15,N$18,FALSE))</f>
        <v>0</v>
      </c>
      <c r="O29" s="34">
        <f>VLOOKUPS(英雄!$A$21:$Q$57,战斗模拟!$B29,1,$E29,4,英雄!K$20+3)+IF($F29=0,0,VLOOKUP(战斗模拟!$F29,装备!$A$2:$N$15,O$18,FALSE))+IF($G29=0,0,VLOOKUP(战斗模拟!$G29,装备!$A$2:$N$15,O$18,FALSE))+IF($H29=0,0,VLOOKUP(战斗模拟!$H29,装备!$A$2:$N$15,O$18,FALSE))</f>
        <v>0</v>
      </c>
      <c r="P29" s="34">
        <f>VLOOKUPS(英雄!$A$21:$Q$57,战斗模拟!$B29,1,$E29,4,英雄!L$20+3)*(1+IF($F29=0,0,VLOOKUP(战斗模拟!$F29,装备!$A$2:$N$15,P$18,FALSE)))*(1+IF($G29=0,0,VLOOKUP(战斗模拟!$G29,装备!$A$2:$N$15,P$18,FALSE)))*(1+IF($H29=0,0,VLOOKUP(战斗模拟!$H29,装备!$A$2:$N$15,P$18,FALSE)))</f>
        <v>1.1199999999999999</v>
      </c>
      <c r="Q29" s="34">
        <f>VLOOKUPS(英雄!$A$21:$Q$57,战斗模拟!$B29,1,$E29,4,英雄!M$20+3)+IF($F29=0,0,VLOOKUP(战斗模拟!$F29,装备!$A$2:$N$15,Q$18,FALSE))+IF($G29=0,0,VLOOKUP(战斗模拟!$G29,装备!$A$2:$N$15,Q$18,FALSE))+IF($H29=0,0,VLOOKUP(战斗模拟!$H29,装备!$A$2:$N$15,Q$18,FALSE))</f>
        <v>0</v>
      </c>
      <c r="R29" s="34">
        <f>VLOOKUPS(英雄!$A$21:$Q$57,战斗模拟!$B29,1,$E29,4,英雄!N$20+3)+IF($F29=0,0,VLOOKUP(战斗模拟!$F29,装备!$A$2:$N$15,R$18,FALSE))+IF($G29=0,0,VLOOKUP(战斗模拟!$G29,装备!$A$2:$N$15,R$18,FALSE))+IF($H29=0,0,VLOOKUP(战斗模拟!$H29,装备!$A$2:$N$15,R$18,FALSE))</f>
        <v>2</v>
      </c>
      <c r="S29" s="34">
        <f>VLOOKUPS(英雄!$A$21:$Q$57,战斗模拟!$B29,1,$E29,4,英雄!O$20+3)+IF($F29=0,0,VLOOKUP(战斗模拟!$F29,装备!$A$2:$N$15,S$18,FALSE))+IF($G29=0,0,VLOOKUP(战斗模拟!$G29,装备!$A$2:$N$15,S$18,FALSE))+IF($H29=0,0,VLOOKUP(战斗模拟!$H29,装备!$A$2:$N$15,S$18,FALSE))</f>
        <v>0</v>
      </c>
      <c r="T29" s="34">
        <f>VLOOKUPS(英雄!$A$21:$Q$57,战斗模拟!$B29,1,$E29,4,英雄!P$20+3)+IF($F29=0,0,VLOOKUP(战斗模拟!$F29,装备!$A$2:$N$15,T$18,FALSE))+IF($G29=0,0,VLOOKUP(战斗模拟!$G29,装备!$A$2:$N$15,T$18,FALSE))+IF($H29=0,0,VLOOKUP(战斗模拟!$H29,装备!$A$2:$N$15,T$18,FALSE))</f>
        <v>0</v>
      </c>
      <c r="U29" s="34">
        <f>VLOOKUPS(英雄!$A$21:$Q$57,战斗模拟!$B29,1,$E29,4,英雄!Q$20+3)+IF($F29=0,0,VLOOKUP(战斗模拟!$F29,装备!$A$2:$N$15,U$18,FALSE))+IF($G29=0,0,VLOOKUP(战斗模拟!$G29,装备!$A$2:$N$15,U$18,FALSE))+IF($H29=0,0,VLOOKUP(战斗模拟!$H29,装备!$A$2:$N$15,U$18,FALSE))</f>
        <v>0</v>
      </c>
    </row>
    <row r="30" spans="1:23" x14ac:dyDescent="0.15">
      <c r="A30" s="34" t="s">
        <v>187</v>
      </c>
      <c r="B30" s="34" t="str">
        <f>N7</f>
        <v>劫</v>
      </c>
      <c r="C30" s="34" t="str">
        <f>VLOOKUP(B30,英雄!$R$1:$S$12,2,FALSE)</f>
        <v>刺客</v>
      </c>
      <c r="D30" s="34">
        <f>VLOOKUP(C30,英雄!$A$10:$P$18,2,FALSE)</f>
        <v>0</v>
      </c>
      <c r="E30" s="34">
        <f t="shared" si="8"/>
        <v>2</v>
      </c>
      <c r="F30" s="34" t="str">
        <f t="shared" si="8"/>
        <v>刺客的利爪</v>
      </c>
      <c r="G30" s="34" t="str">
        <f t="shared" si="8"/>
        <v>巨人杀手</v>
      </c>
      <c r="H30" s="34">
        <f t="shared" si="8"/>
        <v>0</v>
      </c>
      <c r="I30" s="34">
        <f>VLOOKUPS(英雄!$A$21:$Q$57,战斗模拟!$B30,1,$E30,4,英雄!E$20+3)+IF($F30=0,0,VLOOKUP(战斗模拟!$F30,装备!$A$2:$N$15,I$18,FALSE))+IF($G30=0,0,VLOOKUP(战斗模拟!$G30,装备!$A$2:$N$15,I$18,FALSE))+IF($H30=0,0,VLOOKUP(战斗模拟!$H30,装备!$A$2:$N$15,I$18,FALSE))</f>
        <v>450</v>
      </c>
      <c r="J30" s="34">
        <f>VLOOKUPS(英雄!$A$21:$Q$57,战斗模拟!$B30,1,$E30,4,英雄!F$20+3)+IF($F30=0,0,VLOOKUP(战斗模拟!$F30,装备!$A$2:$N$15,J$18,FALSE))+IF($G30=0,0,VLOOKUP(战斗模拟!$G30,装备!$A$2:$N$15,J$18,FALSE))+IF($H30=0,0,VLOOKUP(战斗模拟!$H30,装备!$A$2:$N$15,J$18,FALSE))</f>
        <v>60</v>
      </c>
      <c r="K30" s="34">
        <f>VLOOKUPS(英雄!$A$21:$Q$57,战斗模拟!$B30,1,$E30,4,英雄!G$20+3)+IF($F30=0,0,VLOOKUP(战斗模拟!$F30,装备!$A$2:$N$15,K$18,FALSE))+IF($G30=0,0,VLOOKUP(战斗模拟!$G30,装备!$A$2:$N$15,K$18,FALSE))+IF($H30=0,0,VLOOKUP(战斗模拟!$H30,装备!$A$2:$N$15,K$18,FALSE))</f>
        <v>60</v>
      </c>
      <c r="L30" s="34">
        <f>VLOOKUPS(英雄!$A$21:$Q$57,战斗模拟!$B30,1,$E30,4,英雄!H$20+3)+IF($F30=0,0,VLOOKUP(战斗模拟!$F30,装备!$A$2:$N$15,L$18,FALSE))+IF($G30=0,0,VLOOKUP(战斗模拟!$G30,装备!$A$2:$N$15,L$18,FALSE))+IF($H30=0,0,VLOOKUP(战斗模拟!$H30,装备!$A$2:$N$15,L$18,FALSE))</f>
        <v>135</v>
      </c>
      <c r="M30" s="34">
        <f>VLOOKUPS(英雄!$A$21:$Q$57,战斗模拟!$B30,1,$E30,4,英雄!I$20+3)+IF($F30=0,0,VLOOKUP(战斗模拟!$F30,装备!$A$2:$N$15,M$18,FALSE))+IF($G30=0,0,VLOOKUP(战斗模拟!$G30,装备!$A$2:$N$15,M$18,FALSE))+IF($H30=0,0,VLOOKUP(战斗模拟!$H30,装备!$A$2:$N$15,M$18,FALSE))</f>
        <v>135</v>
      </c>
      <c r="N30" s="34">
        <f>VLOOKUPS(英雄!$A$21:$Q$57,战斗模拟!$B30,1,$E30,4,英雄!J$20+3)+IF($F30=0,0,VLOOKUP(战斗模拟!$F30,装备!$A$2:$N$15,N$18,FALSE))+IF($G30=0,0,VLOOKUP(战斗模拟!$G30,装备!$A$2:$N$15,N$18,FALSE))+IF($H30=0,0,VLOOKUP(战斗模拟!$H30,装备!$A$2:$N$15,N$18,FALSE))</f>
        <v>0.15</v>
      </c>
      <c r="O30" s="34">
        <f>VLOOKUPS(英雄!$A$21:$Q$57,战斗模拟!$B30,1,$E30,4,英雄!K$20+3)+IF($F30=0,0,VLOOKUP(战斗模拟!$F30,装备!$A$2:$N$15,O$18,FALSE))+IF($G30=0,0,VLOOKUP(战斗模拟!$G30,装备!$A$2:$N$15,O$18,FALSE))+IF($H30=0,0,VLOOKUP(战斗模拟!$H30,装备!$A$2:$N$15,O$18,FALSE))</f>
        <v>0</v>
      </c>
      <c r="P30" s="34">
        <f>VLOOKUPS(英雄!$A$21:$Q$57,战斗模拟!$B30,1,$E30,4,英雄!L$20+3)*(1+IF($F30=0,0,VLOOKUP(战斗模拟!$F30,装备!$A$2:$N$15,P$18,FALSE)))*(1+IF($G30=0,0,VLOOKUP(战斗模拟!$G30,装备!$A$2:$N$15,P$18,FALSE)))*(1+IF($H30=0,0,VLOOKUP(战斗模拟!$H30,装备!$A$2:$N$15,P$18,FALSE)))</f>
        <v>1.5</v>
      </c>
      <c r="Q30" s="34">
        <f>VLOOKUPS(英雄!$A$21:$Q$57,战斗模拟!$B30,1,$E30,4,英雄!M$20+3)+IF($F30=0,0,VLOOKUP(战斗模拟!$F30,装备!$A$2:$N$15,Q$18,FALSE))+IF($G30=0,0,VLOOKUP(战斗模拟!$G30,装备!$A$2:$N$15,Q$18,FALSE))+IF($H30=0,0,VLOOKUP(战斗模拟!$H30,装备!$A$2:$N$15,Q$18,FALSE))</f>
        <v>0.45</v>
      </c>
      <c r="R30" s="34">
        <f>VLOOKUPS(英雄!$A$21:$Q$57,战斗模拟!$B30,1,$E30,4,英雄!N$20+3)+IF($F30=0,0,VLOOKUP(战斗模拟!$F30,装备!$A$2:$N$15,R$18,FALSE))+IF($G30=0,0,VLOOKUP(战斗模拟!$G30,装备!$A$2:$N$15,R$18,FALSE))+IF($H30=0,0,VLOOKUP(战斗模拟!$H30,装备!$A$2:$N$15,R$18,FALSE))</f>
        <v>2</v>
      </c>
      <c r="S30" s="34">
        <f>VLOOKUPS(英雄!$A$21:$Q$57,战斗模拟!$B30,1,$E30,4,英雄!O$20+3)+IF($F30=0,0,VLOOKUP(战斗模拟!$F30,装备!$A$2:$N$15,S$18,FALSE))+IF($G30=0,0,VLOOKUP(战斗模拟!$G30,装备!$A$2:$N$15,S$18,FALSE))+IF($H30=0,0,VLOOKUP(战斗模拟!$H30,装备!$A$2:$N$15,S$18,FALSE))</f>
        <v>0</v>
      </c>
      <c r="T30" s="34">
        <f>VLOOKUPS(英雄!$A$21:$Q$57,战斗模拟!$B30,1,$E30,4,英雄!P$20+3)+IF($F30=0,0,VLOOKUP(战斗模拟!$F30,装备!$A$2:$N$15,T$18,FALSE))+IF($G30=0,0,VLOOKUP(战斗模拟!$G30,装备!$A$2:$N$15,T$18,FALSE))+IF($H30=0,0,VLOOKUP(战斗模拟!$H30,装备!$A$2:$N$15,T$18,FALSE))</f>
        <v>0</v>
      </c>
      <c r="U30" s="34">
        <f>VLOOKUPS(英雄!$A$21:$Q$57,战斗模拟!$B30,1,$E30,4,英雄!Q$20+3)+IF($F30=0,0,VLOOKUP(战斗模拟!$F30,装备!$A$2:$N$15,U$18,FALSE))+IF($G30=0,0,VLOOKUP(战斗模拟!$G30,装备!$A$2:$N$15,U$18,FALSE))+IF($H30=0,0,VLOOKUP(战斗模拟!$H30,装备!$A$2:$N$15,U$18,FALSE))</f>
        <v>0</v>
      </c>
    </row>
    <row r="31" spans="1:23" x14ac:dyDescent="0.15">
      <c r="A31" s="34" t="s">
        <v>188</v>
      </c>
      <c r="B31" s="34" t="str">
        <f>N8</f>
        <v>辛德拉</v>
      </c>
      <c r="C31" s="34" t="str">
        <f>VLOOKUP(B31,英雄!$R$1:$S$12,2,FALSE)</f>
        <v>法师</v>
      </c>
      <c r="D31" s="34">
        <f>VLOOKUP(C31,英雄!$A$10:$P$18,2,FALSE)</f>
        <v>1</v>
      </c>
      <c r="E31" s="34">
        <f t="shared" si="8"/>
        <v>2</v>
      </c>
      <c r="F31" s="34" t="str">
        <f t="shared" si="8"/>
        <v>虚空之镜</v>
      </c>
      <c r="G31" s="34" t="str">
        <f t="shared" si="8"/>
        <v>虚空之镜</v>
      </c>
      <c r="H31" s="34" t="str">
        <f t="shared" si="8"/>
        <v>无用大棒</v>
      </c>
      <c r="I31" s="34">
        <f>VLOOKUPS(英雄!$A$21:$Q$57,战斗模拟!$B31,1,$E31,4,英雄!E$20+3)+IF($F31=0,0,VLOOKUP(战斗模拟!$F31,装备!$A$2:$N$15,I$18,FALSE))+IF($G31=0,0,VLOOKUP(战斗模拟!$G31,装备!$A$2:$N$15,I$18,FALSE))+IF($H31=0,0,VLOOKUP(战斗模拟!$H31,装备!$A$2:$N$15,I$18,FALSE))</f>
        <v>450</v>
      </c>
      <c r="J31" s="34">
        <f>VLOOKUPS(英雄!$A$21:$Q$57,战斗模拟!$B31,1,$E31,4,英雄!F$20+3)+IF($F31=0,0,VLOOKUP(战斗模拟!$F31,装备!$A$2:$N$15,J$18,FALSE))+IF($G31=0,0,VLOOKUP(战斗模拟!$G31,装备!$A$2:$N$15,J$18,FALSE))+IF($H31=0,0,VLOOKUP(战斗模拟!$H31,装备!$A$2:$N$15,J$18,FALSE))</f>
        <v>45</v>
      </c>
      <c r="K31" s="34">
        <f>VLOOKUPS(英雄!$A$21:$Q$57,战斗模拟!$B31,1,$E31,4,英雄!G$20+3)+IF($F31=0,0,VLOOKUP(战斗模拟!$F31,装备!$A$2:$N$15,K$18,FALSE))+IF($G31=0,0,VLOOKUP(战斗模拟!$G31,装备!$A$2:$N$15,K$18,FALSE))+IF($H31=0,0,VLOOKUP(战斗模拟!$H31,装备!$A$2:$N$15,K$18,FALSE))</f>
        <v>45</v>
      </c>
      <c r="L31" s="34">
        <f>VLOOKUPS(英雄!$A$21:$Q$57,战斗模拟!$B31,1,$E31,4,英雄!H$20+3)+IF($F31=0,0,VLOOKUP(战斗模拟!$F31,装备!$A$2:$N$15,L$18,FALSE))+IF($G31=0,0,VLOOKUP(战斗模拟!$G31,装备!$A$2:$N$15,L$18,FALSE))+IF($H31=0,0,VLOOKUP(战斗模拟!$H31,装备!$A$2:$N$15,L$18,FALSE))</f>
        <v>153</v>
      </c>
      <c r="M31" s="34">
        <f>VLOOKUPS(英雄!$A$21:$Q$57,战斗模拟!$B31,1,$E31,4,英雄!I$20+3)+IF($F31=0,0,VLOOKUP(战斗模拟!$F31,装备!$A$2:$N$15,M$18,FALSE))+IF($G31=0,0,VLOOKUP(战斗模拟!$G31,装备!$A$2:$N$15,M$18,FALSE))+IF($H31=0,0,VLOOKUP(战斗模拟!$H31,装备!$A$2:$N$15,M$18,FALSE))</f>
        <v>173</v>
      </c>
      <c r="N31" s="34">
        <f>VLOOKUPS(英雄!$A$21:$Q$57,战斗模拟!$B31,1,$E31,4,英雄!J$20+3)+IF($F31=0,0,VLOOKUP(战斗模拟!$F31,装备!$A$2:$N$15,N$18,FALSE))+IF($G31=0,0,VLOOKUP(战斗模拟!$G31,装备!$A$2:$N$15,N$18,FALSE))+IF($H31=0,0,VLOOKUP(战斗模拟!$H31,装备!$A$2:$N$15,N$18,FALSE))</f>
        <v>0</v>
      </c>
      <c r="O31" s="34">
        <f>VLOOKUPS(英雄!$A$21:$Q$57,战斗模拟!$B31,1,$E31,4,英雄!K$20+3)+IF($F31=0,0,VLOOKUP(战斗模拟!$F31,装备!$A$2:$N$15,O$18,FALSE))+IF($G31=0,0,VLOOKUP(战斗模拟!$G31,装备!$A$2:$N$15,O$18,FALSE))+IF($H31=0,0,VLOOKUP(战斗模拟!$H31,装备!$A$2:$N$15,O$18,FALSE))</f>
        <v>0.3</v>
      </c>
      <c r="P31" s="34">
        <f>VLOOKUPS(英雄!$A$21:$Q$57,战斗模拟!$B31,1,$E31,4,英雄!L$20+3)*(1+IF($F31=0,0,VLOOKUP(战斗模拟!$F31,装备!$A$2:$N$15,P$18,FALSE)))*(1+IF($G31=0,0,VLOOKUP(战斗模拟!$G31,装备!$A$2:$N$15,P$18,FALSE)))*(1+IF($H31=0,0,VLOOKUP(战斗模拟!$H31,装备!$A$2:$N$15,P$18,FALSE)))</f>
        <v>1.6500000000000001</v>
      </c>
      <c r="Q31" s="34">
        <f>VLOOKUPS(英雄!$A$21:$Q$57,战斗模拟!$B31,1,$E31,4,英雄!M$20+3)+IF($F31=0,0,VLOOKUP(战斗模拟!$F31,装备!$A$2:$N$15,Q$18,FALSE))+IF($G31=0,0,VLOOKUP(战斗模拟!$G31,装备!$A$2:$N$15,Q$18,FALSE))+IF($H31=0,0,VLOOKUP(战斗模拟!$H31,装备!$A$2:$N$15,Q$18,FALSE))</f>
        <v>0</v>
      </c>
      <c r="R31" s="34">
        <f>VLOOKUPS(英雄!$A$21:$Q$57,战斗模拟!$B31,1,$E31,4,英雄!N$20+3)+IF($F31=0,0,VLOOKUP(战斗模拟!$F31,装备!$A$2:$N$15,R$18,FALSE))+IF($G31=0,0,VLOOKUP(战斗模拟!$G31,装备!$A$2:$N$15,R$18,FALSE))+IF($H31=0,0,VLOOKUP(战斗模拟!$H31,装备!$A$2:$N$15,R$18,FALSE))</f>
        <v>2</v>
      </c>
      <c r="S31" s="34">
        <f>VLOOKUPS(英雄!$A$21:$Q$57,战斗模拟!$B31,1,$E31,4,英雄!O$20+3)+IF($F31=0,0,VLOOKUP(战斗模拟!$F31,装备!$A$2:$N$15,S$18,FALSE))+IF($G31=0,0,VLOOKUP(战斗模拟!$G31,装备!$A$2:$N$15,S$18,FALSE))+IF($H31=0,0,VLOOKUP(战斗模拟!$H31,装备!$A$2:$N$15,S$18,FALSE))</f>
        <v>0</v>
      </c>
      <c r="T31" s="34">
        <f>VLOOKUPS(英雄!$A$21:$Q$57,战斗模拟!$B31,1,$E31,4,英雄!P$20+3)+IF($F31=0,0,VLOOKUP(战斗模拟!$F31,装备!$A$2:$N$15,T$18,FALSE))+IF($G31=0,0,VLOOKUP(战斗模拟!$G31,装备!$A$2:$N$15,T$18,FALSE))+IF($H31=0,0,VLOOKUP(战斗模拟!$H31,装备!$A$2:$N$15,T$18,FALSE))</f>
        <v>0</v>
      </c>
      <c r="U31" s="34">
        <f>VLOOKUPS(英雄!$A$21:$Q$57,战斗模拟!$B31,1,$E31,4,英雄!Q$20+3)+IF($F31=0,0,VLOOKUP(战斗模拟!$F31,装备!$A$2:$N$15,U$18,FALSE))+IF($G31=0,0,VLOOKUP(战斗模拟!$G31,装备!$A$2:$N$15,U$18,FALSE))+IF($H31=0,0,VLOOKUP(战斗模拟!$H31,装备!$A$2:$N$15,U$18,FALSE))</f>
        <v>0</v>
      </c>
    </row>
    <row r="33" spans="17:21" x14ac:dyDescent="0.15">
      <c r="Q33" s="34"/>
      <c r="R33" s="34"/>
      <c r="S33" s="34"/>
      <c r="T33" s="34"/>
      <c r="U33" s="34"/>
    </row>
  </sheetData>
  <mergeCells count="2">
    <mergeCell ref="G1:M1"/>
    <mergeCell ref="V3:V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mainsub">
                <anchor moveWithCells="1" sizeWithCells="1">
                  <from>
                    <xdr:col>10</xdr:col>
                    <xdr:colOff>238125</xdr:colOff>
                    <xdr:row>14</xdr:row>
                    <xdr:rowOff>85725</xdr:rowOff>
                  </from>
                  <to>
                    <xdr:col>12</xdr:col>
                    <xdr:colOff>200025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2" r:id="rId5" name="Button 662">
              <controlPr defaultSize="0" print="0" autoFill="0" autoPict="0" macro="[0]!reset">
                <anchor moveWithCells="1" sizeWithCells="1">
                  <from>
                    <xdr:col>8</xdr:col>
                    <xdr:colOff>257175</xdr:colOff>
                    <xdr:row>14</xdr:row>
                    <xdr:rowOff>76200</xdr:rowOff>
                  </from>
                  <to>
                    <xdr:col>10</xdr:col>
                    <xdr:colOff>142875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英雄!$A$6:$A$8</xm:f>
          </x14:formula1>
          <xm:sqref>B4:B8 O4:O8</xm:sqref>
        </x14:dataValidation>
        <x14:dataValidation type="list" allowBlank="1" showInputMessage="1" showErrorMessage="1">
          <x14:formula1>
            <xm:f>装备!$A$3:$A$15</xm:f>
          </x14:formula1>
          <xm:sqref>C4:E8 P4:R8</xm:sqref>
        </x14:dataValidation>
        <x14:dataValidation type="list" allowBlank="1" showInputMessage="1" showErrorMessage="1">
          <x14:formula1>
            <xm:f>英雄!$R$2:$R$12</xm:f>
          </x14:formula1>
          <xm:sqref>N4:N8</xm:sqref>
        </x14:dataValidation>
        <x14:dataValidation type="list" allowBlank="1" showInputMessage="1" showErrorMessage="1">
          <x14:formula1>
            <xm:f>英雄!$R$2:$R$12</xm:f>
          </x14:formula1>
          <xm:sqref>A4:A8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属性表</vt:lpstr>
      <vt:lpstr>战斗公式</vt:lpstr>
      <vt:lpstr>英雄</vt:lpstr>
      <vt:lpstr>装备</vt:lpstr>
      <vt:lpstr>战斗模拟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2020-05-20T06:48:46Z</dcterms:created>
  <dcterms:modified xsi:type="dcterms:W3CDTF">2020-05-22T13:59:21Z</dcterms:modified>
</cp:coreProperties>
</file>